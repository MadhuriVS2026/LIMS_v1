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07977\Desktop\Calculation sheet_AD_NDDS\"/>
    </mc:Choice>
  </mc:AlternateContent>
  <bookViews>
    <workbookView xWindow="0" yWindow="0" windowWidth="28800" windowHeight="12180"/>
  </bookViews>
  <sheets>
    <sheet name="1" sheetId="5" r:id="rId1"/>
  </sheets>
  <externalReferences>
    <externalReference r:id="rId2"/>
  </externalReferences>
  <definedNames>
    <definedName name="_xlnm.Print_Area" localSheetId="0">'1'!$A$1:$R$96</definedName>
    <definedName name="print1">[1]formu!$A$2:$P$21</definedName>
    <definedName name="print2">[1]formu!$A$23:$P$42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6" i="5" l="1"/>
  <c r="D86" i="5"/>
  <c r="E86" i="5"/>
  <c r="F86" i="5"/>
  <c r="G86" i="5"/>
  <c r="H86" i="5"/>
  <c r="I86" i="5"/>
  <c r="J86" i="5"/>
  <c r="K86" i="5"/>
  <c r="L86" i="5"/>
  <c r="M86" i="5"/>
  <c r="M89" i="5" l="1"/>
  <c r="L89" i="5"/>
  <c r="K89" i="5"/>
  <c r="J89" i="5"/>
  <c r="I89" i="5"/>
  <c r="H89" i="5"/>
  <c r="G89" i="5"/>
  <c r="F89" i="5"/>
  <c r="E89" i="5"/>
  <c r="D89" i="5"/>
  <c r="C89" i="5"/>
  <c r="B89" i="5"/>
  <c r="A76" i="5"/>
  <c r="E61" i="5"/>
  <c r="E76" i="5" s="1"/>
  <c r="A61" i="5"/>
  <c r="M46" i="5"/>
  <c r="M61" i="5" s="1"/>
  <c r="M76" i="5" s="1"/>
  <c r="L46" i="5"/>
  <c r="L61" i="5" s="1"/>
  <c r="L76" i="5" s="1"/>
  <c r="K46" i="5"/>
  <c r="K61" i="5" s="1"/>
  <c r="K76" i="5" s="1"/>
  <c r="J46" i="5"/>
  <c r="J61" i="5" s="1"/>
  <c r="J76" i="5" s="1"/>
  <c r="I46" i="5"/>
  <c r="I61" i="5" s="1"/>
  <c r="I76" i="5" s="1"/>
  <c r="H46" i="5"/>
  <c r="H61" i="5" s="1"/>
  <c r="H76" i="5" s="1"/>
  <c r="G46" i="5"/>
  <c r="G61" i="5" s="1"/>
  <c r="G76" i="5" s="1"/>
  <c r="F46" i="5"/>
  <c r="F61" i="5" s="1"/>
  <c r="F76" i="5" s="1"/>
  <c r="E46" i="5"/>
  <c r="D46" i="5"/>
  <c r="D61" i="5" s="1"/>
  <c r="D76" i="5" s="1"/>
  <c r="C46" i="5"/>
  <c r="C61" i="5" s="1"/>
  <c r="C76" i="5" s="1"/>
  <c r="B46" i="5"/>
  <c r="B61" i="5" s="1"/>
  <c r="B76" i="5" s="1"/>
  <c r="M43" i="5"/>
  <c r="L43" i="5"/>
  <c r="K43" i="5"/>
  <c r="J43" i="5"/>
  <c r="I43" i="5"/>
  <c r="H43" i="5"/>
  <c r="G43" i="5"/>
  <c r="F43" i="5"/>
  <c r="E43" i="5"/>
  <c r="D43" i="5"/>
  <c r="C43" i="5"/>
  <c r="B43" i="5"/>
  <c r="P24" i="5"/>
  <c r="O23" i="5"/>
  <c r="O22" i="5"/>
  <c r="O21" i="5"/>
  <c r="O20" i="5"/>
  <c r="O19" i="5"/>
  <c r="L19" i="5"/>
  <c r="H19" i="5"/>
  <c r="I19" i="5" s="1"/>
  <c r="O32" i="5" s="1"/>
  <c r="H16" i="5"/>
  <c r="R13" i="5"/>
  <c r="K62" i="5" l="1"/>
  <c r="K77" i="5" s="1"/>
  <c r="O24" i="5"/>
  <c r="P25" i="5" s="1"/>
  <c r="N43" i="5"/>
  <c r="P43" i="5"/>
  <c r="O43" i="5"/>
  <c r="I16" i="5"/>
  <c r="O31" i="5" s="1"/>
  <c r="B62" i="5"/>
  <c r="B77" i="5" s="1"/>
  <c r="C62" i="5"/>
  <c r="C77" i="5" s="1"/>
  <c r="D62" i="5"/>
  <c r="D77" i="5" s="1"/>
  <c r="E62" i="5"/>
  <c r="E77" i="5" s="1"/>
  <c r="F62" i="5"/>
  <c r="G62" i="5"/>
  <c r="G77" i="5" s="1"/>
  <c r="H62" i="5"/>
  <c r="H77" i="5" s="1"/>
  <c r="I62" i="5"/>
  <c r="J62" i="5"/>
  <c r="J77" i="5" s="1"/>
  <c r="N89" i="5"/>
  <c r="O89" i="5"/>
  <c r="L62" i="5"/>
  <c r="L77" i="5" s="1"/>
  <c r="M62" i="5"/>
  <c r="M77" i="5" s="1"/>
  <c r="K63" i="5" l="1"/>
  <c r="K78" i="5" s="1"/>
  <c r="P89" i="5"/>
  <c r="C63" i="5"/>
  <c r="C78" i="5" s="1"/>
  <c r="M63" i="5"/>
  <c r="M64" i="5" s="1"/>
  <c r="B63" i="5"/>
  <c r="B78" i="5" s="1"/>
  <c r="Q62" i="5"/>
  <c r="E63" i="5"/>
  <c r="E78" i="5" s="1"/>
  <c r="D63" i="5"/>
  <c r="D64" i="5" s="1"/>
  <c r="I77" i="5"/>
  <c r="I63" i="5"/>
  <c r="R62" i="5"/>
  <c r="L63" i="5"/>
  <c r="F63" i="5"/>
  <c r="F77" i="5"/>
  <c r="Q77" i="5" s="1"/>
  <c r="J63" i="5"/>
  <c r="O62" i="5"/>
  <c r="N62" i="5"/>
  <c r="H63" i="5"/>
  <c r="G63" i="5"/>
  <c r="K64" i="5" l="1"/>
  <c r="K79" i="5" s="1"/>
  <c r="E64" i="5"/>
  <c r="E65" i="5" s="1"/>
  <c r="C64" i="5"/>
  <c r="C79" i="5" s="1"/>
  <c r="K73" i="5"/>
  <c r="K88" i="5" s="1"/>
  <c r="B64" i="5"/>
  <c r="B79" i="5" s="1"/>
  <c r="M78" i="5"/>
  <c r="D78" i="5"/>
  <c r="K65" i="5"/>
  <c r="K80" i="5" s="1"/>
  <c r="R63" i="5"/>
  <c r="N77" i="5"/>
  <c r="O63" i="5"/>
  <c r="Q63" i="5"/>
  <c r="R77" i="5"/>
  <c r="O77" i="5"/>
  <c r="J78" i="5"/>
  <c r="J64" i="5"/>
  <c r="L78" i="5"/>
  <c r="L64" i="5"/>
  <c r="I78" i="5"/>
  <c r="I64" i="5"/>
  <c r="D79" i="5"/>
  <c r="D65" i="5"/>
  <c r="G78" i="5"/>
  <c r="G64" i="5"/>
  <c r="F78" i="5"/>
  <c r="F64" i="5"/>
  <c r="H78" i="5"/>
  <c r="H64" i="5"/>
  <c r="M79" i="5"/>
  <c r="M65" i="5"/>
  <c r="P62" i="5"/>
  <c r="N63" i="5"/>
  <c r="E79" i="5" l="1"/>
  <c r="C65" i="5"/>
  <c r="C80" i="5" s="1"/>
  <c r="Q78" i="5"/>
  <c r="B65" i="5"/>
  <c r="B80" i="5" s="1"/>
  <c r="R78" i="5"/>
  <c r="K66" i="5"/>
  <c r="K67" i="5" s="1"/>
  <c r="P63" i="5"/>
  <c r="I79" i="5"/>
  <c r="I65" i="5"/>
  <c r="L79" i="5"/>
  <c r="L65" i="5"/>
  <c r="J79" i="5"/>
  <c r="J65" i="5"/>
  <c r="F79" i="5"/>
  <c r="F65" i="5"/>
  <c r="G79" i="5"/>
  <c r="G65" i="5"/>
  <c r="Q64" i="5"/>
  <c r="M80" i="5"/>
  <c r="M66" i="5"/>
  <c r="R64" i="5"/>
  <c r="N64" i="5"/>
  <c r="H79" i="5"/>
  <c r="H65" i="5"/>
  <c r="P77" i="5"/>
  <c r="E80" i="5"/>
  <c r="E66" i="5"/>
  <c r="O64" i="5"/>
  <c r="N78" i="5"/>
  <c r="O78" i="5"/>
  <c r="D80" i="5"/>
  <c r="D66" i="5"/>
  <c r="C66" i="5" l="1"/>
  <c r="C81" i="5" s="1"/>
  <c r="K81" i="5"/>
  <c r="B66" i="5"/>
  <c r="B81" i="5" s="1"/>
  <c r="P78" i="5"/>
  <c r="P64" i="5"/>
  <c r="Q65" i="5"/>
  <c r="N79" i="5"/>
  <c r="H80" i="5"/>
  <c r="H66" i="5"/>
  <c r="J80" i="5"/>
  <c r="J66" i="5"/>
  <c r="D81" i="5"/>
  <c r="D67" i="5"/>
  <c r="N65" i="5"/>
  <c r="E81" i="5"/>
  <c r="E67" i="5"/>
  <c r="O79" i="5"/>
  <c r="K82" i="5"/>
  <c r="K68" i="5"/>
  <c r="I80" i="5"/>
  <c r="I66" i="5"/>
  <c r="O65" i="5"/>
  <c r="Q79" i="5"/>
  <c r="R79" i="5"/>
  <c r="F80" i="5"/>
  <c r="F66" i="5"/>
  <c r="R65" i="5"/>
  <c r="L80" i="5"/>
  <c r="L66" i="5"/>
  <c r="M81" i="5"/>
  <c r="M67" i="5"/>
  <c r="G80" i="5"/>
  <c r="G66" i="5"/>
  <c r="C67" i="5" l="1"/>
  <c r="C82" i="5" s="1"/>
  <c r="P79" i="5"/>
  <c r="B67" i="5"/>
  <c r="B82" i="5" s="1"/>
  <c r="R80" i="5"/>
  <c r="G81" i="5"/>
  <c r="G67" i="5"/>
  <c r="F81" i="5"/>
  <c r="F67" i="5"/>
  <c r="M82" i="5"/>
  <c r="M68" i="5"/>
  <c r="O66" i="5"/>
  <c r="P65" i="5"/>
  <c r="I81" i="5"/>
  <c r="I67" i="5"/>
  <c r="N66" i="5"/>
  <c r="Q66" i="5"/>
  <c r="K83" i="5"/>
  <c r="K69" i="5"/>
  <c r="D82" i="5"/>
  <c r="D68" i="5"/>
  <c r="R66" i="5"/>
  <c r="L81" i="5"/>
  <c r="L67" i="5"/>
  <c r="N80" i="5"/>
  <c r="O80" i="5"/>
  <c r="J81" i="5"/>
  <c r="J67" i="5"/>
  <c r="Q80" i="5"/>
  <c r="E68" i="5"/>
  <c r="E82" i="5"/>
  <c r="H81" i="5"/>
  <c r="H67" i="5"/>
  <c r="C68" i="5" l="1"/>
  <c r="C83" i="5" s="1"/>
  <c r="P66" i="5"/>
  <c r="B68" i="5"/>
  <c r="B69" i="5" s="1"/>
  <c r="P80" i="5"/>
  <c r="O67" i="5"/>
  <c r="N81" i="5"/>
  <c r="M83" i="5"/>
  <c r="M69" i="5"/>
  <c r="E83" i="5"/>
  <c r="E69" i="5"/>
  <c r="N67" i="5"/>
  <c r="J82" i="5"/>
  <c r="J68" i="5"/>
  <c r="L82" i="5"/>
  <c r="L68" i="5"/>
  <c r="R81" i="5"/>
  <c r="K84" i="5"/>
  <c r="K70" i="5"/>
  <c r="F82" i="5"/>
  <c r="F68" i="5"/>
  <c r="I82" i="5"/>
  <c r="I68" i="5"/>
  <c r="Q81" i="5"/>
  <c r="H82" i="5"/>
  <c r="H68" i="5"/>
  <c r="O81" i="5"/>
  <c r="Q67" i="5"/>
  <c r="R67" i="5"/>
  <c r="D83" i="5"/>
  <c r="D69" i="5"/>
  <c r="G82" i="5"/>
  <c r="G68" i="5"/>
  <c r="B83" i="5" l="1"/>
  <c r="C69" i="5"/>
  <c r="C84" i="5" s="1"/>
  <c r="P81" i="5"/>
  <c r="P67" i="5"/>
  <c r="N82" i="5"/>
  <c r="F83" i="5"/>
  <c r="F69" i="5"/>
  <c r="Q68" i="5"/>
  <c r="N68" i="5"/>
  <c r="O68" i="5"/>
  <c r="R68" i="5"/>
  <c r="O82" i="5"/>
  <c r="J83" i="5"/>
  <c r="J69" i="5"/>
  <c r="Q82" i="5"/>
  <c r="D84" i="5"/>
  <c r="D70" i="5"/>
  <c r="H83" i="5"/>
  <c r="H69" i="5"/>
  <c r="R82" i="5"/>
  <c r="K85" i="5"/>
  <c r="K71" i="5"/>
  <c r="K72" i="5"/>
  <c r="K87" i="5" s="1"/>
  <c r="E84" i="5"/>
  <c r="E70" i="5"/>
  <c r="L69" i="5"/>
  <c r="L83" i="5"/>
  <c r="G83" i="5"/>
  <c r="G69" i="5"/>
  <c r="I83" i="5"/>
  <c r="I69" i="5"/>
  <c r="M84" i="5"/>
  <c r="M70" i="5"/>
  <c r="B84" i="5"/>
  <c r="B70" i="5"/>
  <c r="P68" i="5" l="1"/>
  <c r="C70" i="5"/>
  <c r="C85" i="5" s="1"/>
  <c r="Q83" i="5"/>
  <c r="P82" i="5"/>
  <c r="R69" i="5"/>
  <c r="O83" i="5"/>
  <c r="N83" i="5"/>
  <c r="R83" i="5"/>
  <c r="H84" i="5"/>
  <c r="H70" i="5"/>
  <c r="N69" i="5"/>
  <c r="D85" i="5"/>
  <c r="D72" i="5"/>
  <c r="D71" i="5"/>
  <c r="M85" i="5"/>
  <c r="M72" i="5"/>
  <c r="M71" i="5"/>
  <c r="G84" i="5"/>
  <c r="G70" i="5"/>
  <c r="L84" i="5"/>
  <c r="L70" i="5"/>
  <c r="J84" i="5"/>
  <c r="J70" i="5"/>
  <c r="Q69" i="5"/>
  <c r="E85" i="5"/>
  <c r="E71" i="5"/>
  <c r="E72" i="5"/>
  <c r="F84" i="5"/>
  <c r="F70" i="5"/>
  <c r="I84" i="5"/>
  <c r="I70" i="5"/>
  <c r="B85" i="5"/>
  <c r="B71" i="5"/>
  <c r="B72" i="5"/>
  <c r="O69" i="5"/>
  <c r="C72" i="5" l="1"/>
  <c r="C87" i="5" s="1"/>
  <c r="C71" i="5"/>
  <c r="N70" i="5"/>
  <c r="Q70" i="5"/>
  <c r="R70" i="5"/>
  <c r="P83" i="5"/>
  <c r="P69" i="5"/>
  <c r="Q84" i="5"/>
  <c r="E87" i="5"/>
  <c r="E73" i="5"/>
  <c r="E88" i="5" s="1"/>
  <c r="B87" i="5"/>
  <c r="J85" i="5"/>
  <c r="J71" i="5"/>
  <c r="J72" i="5"/>
  <c r="O70" i="5"/>
  <c r="L72" i="5"/>
  <c r="L85" i="5"/>
  <c r="L71" i="5"/>
  <c r="R84" i="5"/>
  <c r="O84" i="5"/>
  <c r="I72" i="5"/>
  <c r="I85" i="5"/>
  <c r="I71" i="5"/>
  <c r="G85" i="5"/>
  <c r="G71" i="5"/>
  <c r="G72" i="5"/>
  <c r="M87" i="5"/>
  <c r="M73" i="5"/>
  <c r="M88" i="5" s="1"/>
  <c r="B86" i="5"/>
  <c r="B73" i="5"/>
  <c r="D87" i="5"/>
  <c r="D73" i="5"/>
  <c r="D88" i="5" s="1"/>
  <c r="N84" i="5"/>
  <c r="H85" i="5"/>
  <c r="H71" i="5"/>
  <c r="H72" i="5"/>
  <c r="F85" i="5"/>
  <c r="F71" i="5"/>
  <c r="F72" i="5"/>
  <c r="C73" i="5" l="1"/>
  <c r="C88" i="5" s="1"/>
  <c r="P70" i="5"/>
  <c r="N85" i="5"/>
  <c r="N71" i="5"/>
  <c r="P84" i="5"/>
  <c r="R71" i="5"/>
  <c r="B88" i="5"/>
  <c r="F87" i="5"/>
  <c r="F73" i="5"/>
  <c r="F88" i="5" s="1"/>
  <c r="N72" i="5"/>
  <c r="O72" i="5"/>
  <c r="Q72" i="5"/>
  <c r="J87" i="5"/>
  <c r="J73" i="5"/>
  <c r="J88" i="5" s="1"/>
  <c r="L87" i="5"/>
  <c r="L73" i="5"/>
  <c r="L88" i="5" s="1"/>
  <c r="O85" i="5"/>
  <c r="Q85" i="5"/>
  <c r="G73" i="5"/>
  <c r="G88" i="5" s="1"/>
  <c r="G87" i="5"/>
  <c r="R85" i="5"/>
  <c r="I87" i="5"/>
  <c r="I73" i="5"/>
  <c r="I88" i="5" s="1"/>
  <c r="Q71" i="5"/>
  <c r="O71" i="5"/>
  <c r="R86" i="5"/>
  <c r="Q86" i="5"/>
  <c r="O86" i="5"/>
  <c r="N86" i="5"/>
  <c r="H87" i="5"/>
  <c r="H73" i="5"/>
  <c r="H88" i="5" s="1"/>
  <c r="R72" i="5"/>
  <c r="Q87" i="5" l="1"/>
  <c r="P85" i="5"/>
  <c r="P71" i="5"/>
  <c r="P72" i="5"/>
  <c r="N87" i="5"/>
  <c r="R87" i="5"/>
  <c r="O87" i="5"/>
  <c r="R88" i="5"/>
  <c r="Q88" i="5"/>
  <c r="O88" i="5"/>
  <c r="N88" i="5"/>
  <c r="Q73" i="5"/>
  <c r="P86" i="5"/>
  <c r="N73" i="5"/>
  <c r="O73" i="5"/>
  <c r="R73" i="5"/>
  <c r="P87" i="5" l="1"/>
  <c r="P73" i="5"/>
  <c r="P88" i="5"/>
</calcChain>
</file>

<file path=xl/sharedStrings.xml><?xml version="1.0" encoding="utf-8"?>
<sst xmlns="http://schemas.openxmlformats.org/spreadsheetml/2006/main" count="141" uniqueCount="128">
  <si>
    <t>Apparatus</t>
  </si>
  <si>
    <t>PRODUCT</t>
  </si>
  <si>
    <t>RPM</t>
  </si>
  <si>
    <t>Withdrawal Volume (mL)</t>
  </si>
  <si>
    <t>LNB No.</t>
  </si>
  <si>
    <t>TEST PERFORMED</t>
  </si>
  <si>
    <t>STANDARD PREPARATION</t>
  </si>
  <si>
    <t>Doxorubicin HCl WS</t>
  </si>
  <si>
    <t xml:space="preserve">Wt. in mg </t>
  </si>
  <si>
    <t xml:space="preserve">Dilutions </t>
  </si>
  <si>
    <t>mg</t>
  </si>
  <si>
    <t>ml (Water)</t>
  </si>
  <si>
    <t>ml</t>
  </si>
  <si>
    <t>ml (MeOH)</t>
  </si>
  <si>
    <t>Injections</t>
  </si>
  <si>
    <t>SD</t>
  </si>
  <si>
    <t>RSD</t>
  </si>
  <si>
    <t xml:space="preserve">Area </t>
  </si>
  <si>
    <t>System Suitability Criteria</t>
  </si>
  <si>
    <t>Observation</t>
  </si>
  <si>
    <t>Time Interval (Hours)</t>
  </si>
  <si>
    <t>% Content of Doxorubicin Hydrochloride</t>
  </si>
  <si>
    <t>%RSD</t>
  </si>
  <si>
    <t>Min.</t>
  </si>
  <si>
    <t>Max.</t>
  </si>
  <si>
    <t>ml (Media)</t>
  </si>
  <si>
    <t>Inj-1</t>
  </si>
  <si>
    <t>Inj-2</t>
  </si>
  <si>
    <t>Inj-3</t>
  </si>
  <si>
    <t>Inj-4</t>
  </si>
  <si>
    <t>Inj-5</t>
  </si>
  <si>
    <t>Mean</t>
  </si>
  <si>
    <t>BKT-1</t>
  </si>
  <si>
    <t>BKT-2</t>
  </si>
  <si>
    <t>BKT-3</t>
  </si>
  <si>
    <t>BKT-4</t>
  </si>
  <si>
    <t>BKT-5</t>
  </si>
  <si>
    <t>BKT-6</t>
  </si>
  <si>
    <t>BKT-7</t>
  </si>
  <si>
    <t>BKT-8</t>
  </si>
  <si>
    <t>BKT-9</t>
  </si>
  <si>
    <t>BKT-10</t>
  </si>
  <si>
    <t>BKT-11</t>
  </si>
  <si>
    <t>BKT-12</t>
  </si>
  <si>
    <t>BKT-13</t>
  </si>
  <si>
    <t>BKT-14</t>
  </si>
  <si>
    <t>BKT-15</t>
  </si>
  <si>
    <t>BKT-16</t>
  </si>
  <si>
    <t>BKT-17</t>
  </si>
  <si>
    <t>BKT-18</t>
  </si>
  <si>
    <t>BKT-19</t>
  </si>
  <si>
    <t>BKT-20</t>
  </si>
  <si>
    <t>BKT-21</t>
  </si>
  <si>
    <t>BKT-22</t>
  </si>
  <si>
    <t>BKT-23</t>
  </si>
  <si>
    <t>BKT-24</t>
  </si>
  <si>
    <t>Bracketing Std 
(Area)</t>
  </si>
  <si>
    <t>Area of standard Injections</t>
  </si>
  <si>
    <t>Wt./mL</t>
  </si>
  <si>
    <t>Medium Volume
 (mL)</t>
  </si>
  <si>
    <t>Total volume
 (mL)</t>
  </si>
  <si>
    <t>Aliquot Volume
 (mL)</t>
  </si>
  <si>
    <t>Dilution Volume
 (mL)</t>
  </si>
  <si>
    <t xml:space="preserve">ml  </t>
  </si>
  <si>
    <t>Concen. (ppm)</t>
  </si>
  <si>
    <t xml:space="preserve">%Potency </t>
  </si>
  <si>
    <t>REMARKS :  15 gm Dowex 50 WX4</t>
  </si>
  <si>
    <t>% Assay</t>
  </si>
  <si>
    <t>Test Preparation</t>
  </si>
  <si>
    <t>Batch No.</t>
  </si>
  <si>
    <t>DATE OF ANALYSIS</t>
  </si>
  <si>
    <t>Disso Media</t>
  </si>
  <si>
    <t>Replenishment Volume (mL)</t>
  </si>
  <si>
    <r>
      <t xml:space="preserve">LABEL CLAIM (mg/mL)      </t>
    </r>
    <r>
      <rPr>
        <sz val="16"/>
        <color theme="1"/>
        <rFont val="Calibri"/>
        <family val="2"/>
        <scheme val="minor"/>
      </rPr>
      <t>:</t>
    </r>
  </si>
  <si>
    <r>
      <t>Temp</t>
    </r>
    <r>
      <rPr>
        <b/>
        <vertAlign val="superscript"/>
        <sz val="16"/>
        <rFont val="Arial"/>
        <family val="2"/>
      </rPr>
      <t xml:space="preserve">re </t>
    </r>
    <r>
      <rPr>
        <b/>
        <sz val="16"/>
        <rFont val="Arial"/>
        <family val="2"/>
      </rPr>
      <t>(°C)</t>
    </r>
  </si>
  <si>
    <t>STRENGTH</t>
  </si>
  <si>
    <t>Page 1 of 2</t>
  </si>
  <si>
    <t>Continue on Next page</t>
  </si>
  <si>
    <t>Page 2 of 2</t>
  </si>
  <si>
    <t>% Release of Doxorubicin Hydrochloride</t>
  </si>
  <si>
    <t>Parameter</t>
  </si>
  <si>
    <t>SAMPLE AREA</t>
  </si>
  <si>
    <t>SAMPLE WEIGHT</t>
  </si>
  <si>
    <t>Min</t>
  </si>
  <si>
    <t>Max</t>
  </si>
  <si>
    <t>Filled Wt. (g)</t>
  </si>
  <si>
    <t>Empty Wt. (g)</t>
  </si>
  <si>
    <t>Net Wt. (g)</t>
  </si>
  <si>
    <t>DISSO ID</t>
  </si>
  <si>
    <t>HPLC ID</t>
  </si>
  <si>
    <t>Column ID</t>
  </si>
  <si>
    <t>Dissolution (USP Type II Apparatus)</t>
  </si>
  <si>
    <t>TRF No.</t>
  </si>
  <si>
    <t>A.R. No.</t>
  </si>
  <si>
    <t>20mg/10mL</t>
  </si>
  <si>
    <r>
      <rPr>
        <b/>
        <sz val="16"/>
        <rFont val="Arial"/>
        <family val="2"/>
      </rPr>
      <t>1.</t>
    </r>
    <r>
      <rPr>
        <sz val="16"/>
        <rFont val="Arial"/>
        <family val="2"/>
      </rPr>
      <t xml:space="preserve"> No interference peak from the Blank solution should be observed at the retention time of peak due to Doxorubicin in Test solution.</t>
    </r>
  </si>
  <si>
    <r>
      <rPr>
        <b/>
        <sz val="16"/>
        <rFont val="Arial"/>
        <family val="2"/>
      </rPr>
      <t>3.</t>
    </r>
    <r>
      <rPr>
        <sz val="16"/>
        <rFont val="Arial"/>
        <family val="2"/>
      </rPr>
      <t xml:space="preserve"> Theoretical plates for peak due to Doxorubicin in 5th injection of Standard solution should be not less than 2000.</t>
    </r>
  </si>
  <si>
    <r>
      <rPr>
        <b/>
        <sz val="16"/>
        <rFont val="Arial"/>
        <family val="2"/>
      </rPr>
      <t xml:space="preserve">2. </t>
    </r>
    <r>
      <rPr>
        <sz val="16"/>
        <rFont val="Arial"/>
        <family val="2"/>
      </rPr>
      <t>The Tailing factor for peak due to Doxorubicin in 5th injection of Standard solution should be not more than 2.0</t>
    </r>
  </si>
  <si>
    <r>
      <rPr>
        <b/>
        <sz val="16"/>
        <rFont val="Arial"/>
        <family val="2"/>
      </rPr>
      <t>4.</t>
    </r>
    <r>
      <rPr>
        <sz val="16"/>
        <rFont val="Arial"/>
        <family val="2"/>
      </rPr>
      <t xml:space="preserve"> % RSD of the peak area of Doxorubicin from five replicate injections of Standard solution should be not more than 2.0.</t>
    </r>
  </si>
  <si>
    <r>
      <rPr>
        <b/>
        <sz val="16"/>
        <rFont val="Arial"/>
        <family val="2"/>
      </rPr>
      <t>5.</t>
    </r>
    <r>
      <rPr>
        <sz val="16"/>
        <rFont val="Arial"/>
        <family val="2"/>
      </rPr>
      <t xml:space="preserve"> The %RSD of the peak area of Doxorubicin from Bracketing standards and replicate injections of Standard solution should be not more than 2.0.</t>
    </r>
  </si>
  <si>
    <t>Sample Volume</t>
  </si>
  <si>
    <t>0.05M Potassium dihydrogen phosphate (pH 6.5)</t>
  </si>
  <si>
    <t>0.05M Phosphate buffer pH 6.5</t>
  </si>
  <si>
    <t>USP Type II (Paddle)</t>
  </si>
  <si>
    <t>52°C</t>
  </si>
  <si>
    <t xml:space="preserve">Complies </t>
  </si>
  <si>
    <t>Weight</t>
  </si>
  <si>
    <t xml:space="preserve"> STD -1</t>
  </si>
  <si>
    <t xml:space="preserve"> STD -2</t>
  </si>
  <si>
    <t>Injection</t>
  </si>
  <si>
    <t>Area</t>
  </si>
  <si>
    <t>STD-1</t>
  </si>
  <si>
    <t>STD-2</t>
  </si>
  <si>
    <t>STD Co-Relation</t>
  </si>
  <si>
    <t>Analyzed by</t>
  </si>
  <si>
    <t>Checked by</t>
  </si>
  <si>
    <t xml:space="preserve"> </t>
  </si>
  <si>
    <t>Spec Limit</t>
  </si>
  <si>
    <t>AD/LC/3091</t>
  </si>
  <si>
    <t>Emcure Pharmaceuticals Limited - R &amp; D (Ahmedabad)</t>
  </si>
  <si>
    <t xml:space="preserve"> 17 OCT 2025</t>
  </si>
  <si>
    <t>AD/HPLC/027</t>
  </si>
  <si>
    <t>TRF-054-25-096</t>
  </si>
  <si>
    <t>AD/045/26/0512</t>
  </si>
  <si>
    <t>Doxorubicin 2mg/ml concentrate for solution for infusion (Pegylated liposomal doxorubicin hydrochloride)</t>
  </si>
  <si>
    <t>ESD24E002</t>
  </si>
  <si>
    <t>LNB_AD_403</t>
  </si>
  <si>
    <t>AD/TDT/010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</si>
</sst>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0.00000"/>
    <numFmt numFmtId="167" formatCode="0.0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b/>
      <sz val="3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6"/>
      <color theme="1"/>
      <name val="Calibri"/>
      <family val="2"/>
      <scheme val="minor"/>
    </font>
    <font>
      <b/>
      <vertAlign val="superscript"/>
      <sz val="16"/>
      <name val="Arial"/>
      <family val="2"/>
    </font>
    <font>
      <sz val="16"/>
      <color theme="1"/>
      <name val="Arial"/>
      <family val="2"/>
    </font>
    <font>
      <b/>
      <sz val="25"/>
      <name val="Arial"/>
      <family val="2"/>
    </font>
    <font>
      <b/>
      <sz val="18"/>
      <color theme="1"/>
      <name val="Calibri"/>
      <family val="2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5C7F9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21" fillId="0" borderId="0"/>
  </cellStyleXfs>
  <cellXfs count="281">
    <xf numFmtId="0" fontId="0" fillId="0" borderId="0" xfId="0"/>
    <xf numFmtId="0" fontId="1" fillId="0" borderId="0" xfId="1" applyFont="1" applyAlignment="1">
      <alignment vertical="center"/>
    </xf>
    <xf numFmtId="0" fontId="1" fillId="2" borderId="0" xfId="1" applyFont="1" applyFill="1" applyBorder="1" applyAlignment="1">
      <alignment vertical="center"/>
    </xf>
    <xf numFmtId="0" fontId="1" fillId="2" borderId="0" xfId="1" applyFont="1" applyFill="1" applyAlignment="1">
      <alignment vertical="center"/>
    </xf>
    <xf numFmtId="0" fontId="1" fillId="0" borderId="0" xfId="1" applyFont="1" applyBorder="1" applyAlignment="1">
      <alignment vertical="center"/>
    </xf>
    <xf numFmtId="164" fontId="1" fillId="0" borderId="0" xfId="1" applyNumberFormat="1" applyFont="1" applyBorder="1" applyAlignment="1">
      <alignment vertical="center"/>
    </xf>
    <xf numFmtId="0" fontId="1" fillId="0" borderId="0" xfId="1" applyFont="1" applyFill="1" applyBorder="1" applyAlignment="1">
      <alignment horizontal="left" vertical="center"/>
    </xf>
    <xf numFmtId="164" fontId="1" fillId="0" borderId="0" xfId="1" applyNumberFormat="1" applyFont="1" applyBorder="1" applyAlignment="1">
      <alignment horizontal="center" vertical="center"/>
    </xf>
    <xf numFmtId="0" fontId="5" fillId="0" borderId="0" xfId="1" applyFont="1" applyAlignment="1">
      <alignment horizontal="justify"/>
    </xf>
    <xf numFmtId="0" fontId="1" fillId="0" borderId="0" xfId="1"/>
    <xf numFmtId="0" fontId="6" fillId="0" borderId="0" xfId="1" applyFont="1" applyAlignment="1">
      <alignment horizontal="justify"/>
    </xf>
    <xf numFmtId="0" fontId="7" fillId="0" borderId="0" xfId="1" applyFont="1" applyAlignment="1">
      <alignment wrapText="1"/>
    </xf>
    <xf numFmtId="0" fontId="8" fillId="0" borderId="0" xfId="1" applyFont="1" applyAlignment="1">
      <alignment vertical="top" wrapText="1"/>
    </xf>
    <xf numFmtId="0" fontId="7" fillId="0" borderId="0" xfId="1" applyFont="1" applyAlignment="1">
      <alignment horizontal="justify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horizontal="center" wrapText="1"/>
    </xf>
    <xf numFmtId="0" fontId="10" fillId="2" borderId="0" xfId="1" applyFont="1" applyFill="1" applyBorder="1" applyAlignment="1" applyProtection="1">
      <alignment vertical="center"/>
    </xf>
    <xf numFmtId="0" fontId="10" fillId="2" borderId="2" xfId="1" applyFont="1" applyFill="1" applyBorder="1" applyAlignment="1" applyProtection="1">
      <alignment vertical="center"/>
    </xf>
    <xf numFmtId="0" fontId="10" fillId="0" borderId="0" xfId="1" applyFont="1" applyBorder="1" applyAlignment="1" applyProtection="1">
      <alignment vertical="center"/>
    </xf>
    <xf numFmtId="0" fontId="10" fillId="2" borderId="1" xfId="1" applyFont="1" applyFill="1" applyBorder="1" applyAlignment="1" applyProtection="1">
      <alignment vertical="center"/>
    </xf>
    <xf numFmtId="0" fontId="10" fillId="2" borderId="0" xfId="1" applyFont="1" applyFill="1" applyBorder="1" applyAlignment="1" applyProtection="1">
      <alignment horizontal="center" vertical="center"/>
    </xf>
    <xf numFmtId="1" fontId="10" fillId="2" borderId="0" xfId="1" applyNumberFormat="1" applyFont="1" applyFill="1" applyBorder="1" applyAlignment="1" applyProtection="1">
      <alignment horizontal="center" vertical="center"/>
    </xf>
    <xf numFmtId="0" fontId="1" fillId="2" borderId="0" xfId="1" applyFont="1" applyFill="1" applyBorder="1" applyAlignment="1" applyProtection="1">
      <alignment vertical="center"/>
    </xf>
    <xf numFmtId="0" fontId="9" fillId="2" borderId="1" xfId="1" applyFont="1" applyFill="1" applyBorder="1" applyAlignment="1" applyProtection="1">
      <alignment horizontal="center" vertical="center"/>
    </xf>
    <xf numFmtId="1" fontId="9" fillId="2" borderId="0" xfId="1" applyNumberFormat="1" applyFont="1" applyFill="1" applyBorder="1" applyAlignment="1" applyProtection="1">
      <alignment vertical="center"/>
    </xf>
    <xf numFmtId="165" fontId="9" fillId="2" borderId="0" xfId="1" applyNumberFormat="1" applyFont="1" applyFill="1" applyBorder="1" applyAlignment="1" applyProtection="1">
      <alignment vertical="center"/>
    </xf>
    <xf numFmtId="16" fontId="10" fillId="2" borderId="0" xfId="1" applyNumberFormat="1" applyFont="1" applyFill="1" applyBorder="1" applyAlignment="1" applyProtection="1">
      <alignment horizontal="center" vertical="center"/>
    </xf>
    <xf numFmtId="16" fontId="1" fillId="2" borderId="0" xfId="1" applyNumberFormat="1" applyFont="1" applyFill="1" applyBorder="1" applyAlignment="1" applyProtection="1">
      <alignment horizontal="center" vertical="center"/>
    </xf>
    <xf numFmtId="1" fontId="1" fillId="2" borderId="0" xfId="1" applyNumberFormat="1" applyFont="1" applyFill="1" applyBorder="1" applyAlignment="1" applyProtection="1">
      <alignment horizontal="center" vertical="center"/>
    </xf>
    <xf numFmtId="0" fontId="1" fillId="2" borderId="2" xfId="1" applyFont="1" applyFill="1" applyBorder="1" applyAlignment="1" applyProtection="1">
      <alignment vertical="center"/>
    </xf>
    <xf numFmtId="0" fontId="1" fillId="0" borderId="1" xfId="1" applyFont="1" applyBorder="1" applyAlignment="1" applyProtection="1">
      <alignment vertical="center"/>
    </xf>
    <xf numFmtId="0" fontId="1" fillId="0" borderId="0" xfId="1" applyFont="1" applyBorder="1" applyAlignment="1" applyProtection="1">
      <alignment vertical="center"/>
    </xf>
    <xf numFmtId="0" fontId="1" fillId="3" borderId="0" xfId="1" applyFont="1" applyFill="1" applyBorder="1" applyAlignment="1" applyProtection="1">
      <alignment horizontal="center" vertical="center"/>
    </xf>
    <xf numFmtId="16" fontId="1" fillId="3" borderId="0" xfId="1" applyNumberFormat="1" applyFont="1" applyFill="1" applyBorder="1" applyAlignment="1" applyProtection="1">
      <alignment horizontal="center" vertical="center"/>
    </xf>
    <xf numFmtId="1" fontId="1" fillId="3" borderId="0" xfId="1" applyNumberFormat="1" applyFont="1" applyFill="1" applyBorder="1" applyAlignment="1" applyProtection="1">
      <alignment horizontal="center" vertical="center"/>
    </xf>
    <xf numFmtId="0" fontId="1" fillId="0" borderId="2" xfId="1" applyFont="1" applyBorder="1" applyAlignment="1" applyProtection="1">
      <alignment vertical="center"/>
    </xf>
    <xf numFmtId="2" fontId="11" fillId="0" borderId="0" xfId="1" applyNumberFormat="1" applyFont="1" applyBorder="1" applyAlignment="1" applyProtection="1">
      <alignment horizontal="center" vertical="center"/>
    </xf>
    <xf numFmtId="2" fontId="2" fillId="0" borderId="0" xfId="1" applyNumberFormat="1" applyFont="1" applyBorder="1" applyAlignment="1" applyProtection="1">
      <alignment horizontal="center" vertical="center"/>
    </xf>
    <xf numFmtId="164" fontId="11" fillId="0" borderId="0" xfId="1" applyNumberFormat="1" applyFont="1" applyBorder="1" applyAlignment="1" applyProtection="1">
      <alignment horizontal="center" vertical="center"/>
    </xf>
    <xf numFmtId="164" fontId="2" fillId="0" borderId="0" xfId="1" applyNumberFormat="1" applyFont="1" applyBorder="1" applyAlignment="1" applyProtection="1">
      <alignment horizontal="center" vertical="center"/>
    </xf>
    <xf numFmtId="164" fontId="2" fillId="0" borderId="2" xfId="1" applyNumberFormat="1" applyFont="1" applyBorder="1" applyAlignment="1" applyProtection="1">
      <alignment horizontal="center" vertical="center"/>
    </xf>
    <xf numFmtId="164" fontId="9" fillId="2" borderId="6" xfId="1" applyNumberFormat="1" applyFont="1" applyFill="1" applyBorder="1" applyAlignment="1" applyProtection="1">
      <alignment horizontal="center" vertical="center"/>
    </xf>
    <xf numFmtId="165" fontId="13" fillId="4" borderId="16" xfId="1" applyNumberFormat="1" applyFont="1" applyFill="1" applyBorder="1" applyAlignment="1" applyProtection="1">
      <alignment horizontal="center" vertical="center"/>
      <protection locked="0"/>
    </xf>
    <xf numFmtId="0" fontId="13" fillId="2" borderId="12" xfId="1" applyFont="1" applyFill="1" applyBorder="1" applyAlignment="1" applyProtection="1">
      <alignment horizontal="center" vertical="center"/>
    </xf>
    <xf numFmtId="164" fontId="12" fillId="0" borderId="6" xfId="1" applyNumberFormat="1" applyFont="1" applyBorder="1" applyAlignment="1" applyProtection="1">
      <alignment horizontal="center" vertical="center"/>
    </xf>
    <xf numFmtId="0" fontId="13" fillId="2" borderId="0" xfId="1" applyFont="1" applyFill="1" applyBorder="1" applyAlignment="1" applyProtection="1">
      <alignment vertical="center"/>
    </xf>
    <xf numFmtId="0" fontId="12" fillId="2" borderId="7" xfId="1" applyFont="1" applyFill="1" applyBorder="1" applyAlignment="1" applyProtection="1">
      <alignment horizontal="left" vertical="center"/>
    </xf>
    <xf numFmtId="0" fontId="13" fillId="2" borderId="2" xfId="1" applyFont="1" applyFill="1" applyBorder="1" applyAlignment="1" applyProtection="1">
      <alignment vertical="center"/>
    </xf>
    <xf numFmtId="0" fontId="12" fillId="2" borderId="6" xfId="1" applyFont="1" applyFill="1" applyBorder="1" applyAlignment="1" applyProtection="1">
      <alignment vertical="center"/>
    </xf>
    <xf numFmtId="0" fontId="13" fillId="0" borderId="0" xfId="1" applyFont="1" applyFill="1" applyBorder="1" applyAlignment="1" applyProtection="1">
      <alignment vertical="center"/>
    </xf>
    <xf numFmtId="1" fontId="13" fillId="0" borderId="0" xfId="1" applyNumberFormat="1" applyFont="1" applyFill="1" applyBorder="1" applyAlignment="1" applyProtection="1">
      <alignment horizontal="center" vertical="center"/>
    </xf>
    <xf numFmtId="0" fontId="12" fillId="2" borderId="3" xfId="1" applyFont="1" applyFill="1" applyBorder="1" applyAlignment="1" applyProtection="1">
      <alignment vertical="center"/>
    </xf>
    <xf numFmtId="14" fontId="13" fillId="0" borderId="4" xfId="1" applyNumberFormat="1" applyFont="1" applyFill="1" applyBorder="1" applyAlignment="1" applyProtection="1">
      <alignment horizontal="left" vertical="center"/>
    </xf>
    <xf numFmtId="0" fontId="13" fillId="0" borderId="4" xfId="1" applyFont="1" applyFill="1" applyBorder="1" applyAlignment="1" applyProtection="1">
      <alignment horizontal="left" vertical="center"/>
    </xf>
    <xf numFmtId="0" fontId="13" fillId="0" borderId="4" xfId="1" applyFont="1" applyFill="1" applyBorder="1" applyAlignment="1" applyProtection="1">
      <alignment vertical="center"/>
    </xf>
    <xf numFmtId="0" fontId="12" fillId="0" borderId="4" xfId="1" applyFont="1" applyFill="1" applyBorder="1" applyAlignment="1" applyProtection="1">
      <alignment horizontal="left" vertical="center" wrapText="1"/>
    </xf>
    <xf numFmtId="2" fontId="12" fillId="0" borderId="4" xfId="1" applyNumberFormat="1" applyFont="1" applyFill="1" applyBorder="1" applyAlignment="1" applyProtection="1">
      <alignment horizontal="center" vertical="center" wrapText="1"/>
    </xf>
    <xf numFmtId="1" fontId="13" fillId="0" borderId="4" xfId="1" applyNumberFormat="1" applyFont="1" applyFill="1" applyBorder="1" applyAlignment="1" applyProtection="1">
      <alignment horizontal="center" vertical="center"/>
    </xf>
    <xf numFmtId="0" fontId="13" fillId="2" borderId="4" xfId="1" applyFont="1" applyFill="1" applyBorder="1" applyAlignment="1" applyProtection="1">
      <alignment vertical="center"/>
    </xf>
    <xf numFmtId="0" fontId="12" fillId="2" borderId="16" xfId="1" applyFont="1" applyFill="1" applyBorder="1" applyAlignment="1" applyProtection="1">
      <alignment horizontal="center" vertical="center"/>
    </xf>
    <xf numFmtId="0" fontId="13" fillId="2" borderId="5" xfId="1" applyFont="1" applyFill="1" applyBorder="1" applyAlignment="1" applyProtection="1">
      <alignment vertical="center"/>
    </xf>
    <xf numFmtId="0" fontId="13" fillId="2" borderId="16" xfId="1" applyFont="1" applyFill="1" applyBorder="1" applyAlignment="1" applyProtection="1">
      <alignment horizontal="left" vertical="center"/>
    </xf>
    <xf numFmtId="0" fontId="13" fillId="2" borderId="1" xfId="1" applyFont="1" applyFill="1" applyBorder="1" applyAlignment="1" applyProtection="1">
      <alignment vertical="center"/>
    </xf>
    <xf numFmtId="0" fontId="12" fillId="2" borderId="0" xfId="1" applyFont="1" applyFill="1" applyBorder="1" applyAlignment="1" applyProtection="1">
      <alignment vertical="center"/>
    </xf>
    <xf numFmtId="0" fontId="13" fillId="0" borderId="0" xfId="1" applyFont="1" applyFill="1" applyBorder="1" applyAlignment="1" applyProtection="1">
      <alignment horizontal="center" vertical="center"/>
      <protection locked="0"/>
    </xf>
    <xf numFmtId="164" fontId="2" fillId="2" borderId="1" xfId="1" applyNumberFormat="1" applyFont="1" applyFill="1" applyBorder="1" applyAlignment="1" applyProtection="1">
      <alignment horizontal="center" vertical="center"/>
    </xf>
    <xf numFmtId="1" fontId="11" fillId="0" borderId="0" xfId="1" applyNumberFormat="1" applyFont="1" applyFill="1" applyBorder="1" applyAlignment="1" applyProtection="1">
      <alignment horizontal="center" vertical="center"/>
    </xf>
    <xf numFmtId="0" fontId="11" fillId="0" borderId="0" xfId="1" applyNumberFormat="1" applyFont="1" applyFill="1" applyBorder="1" applyAlignment="1" applyProtection="1">
      <alignment horizontal="center" vertical="center"/>
    </xf>
    <xf numFmtId="0" fontId="11" fillId="0" borderId="0" xfId="1" applyFont="1" applyFill="1" applyBorder="1" applyAlignment="1" applyProtection="1">
      <alignment horizontal="center" vertical="center"/>
    </xf>
    <xf numFmtId="164" fontId="2" fillId="0" borderId="1" xfId="1" applyNumberFormat="1" applyFont="1" applyBorder="1" applyAlignment="1" applyProtection="1">
      <alignment horizontal="center" vertical="center"/>
    </xf>
    <xf numFmtId="0" fontId="15" fillId="0" borderId="0" xfId="1" applyFont="1" applyBorder="1" applyAlignment="1" applyProtection="1">
      <alignment vertical="center"/>
    </xf>
    <xf numFmtId="0" fontId="9" fillId="2" borderId="15" xfId="1" applyFont="1" applyFill="1" applyBorder="1" applyAlignment="1" applyProtection="1">
      <alignment horizontal="center" vertical="center"/>
    </xf>
    <xf numFmtId="0" fontId="12" fillId="2" borderId="17" xfId="1" applyFont="1" applyFill="1" applyBorder="1" applyAlignment="1" applyProtection="1">
      <alignment horizontal="left" vertical="center"/>
    </xf>
    <xf numFmtId="0" fontId="13" fillId="0" borderId="0" xfId="1" applyFont="1" applyFill="1" applyBorder="1" applyAlignment="1" applyProtection="1">
      <alignment horizontal="center" vertical="center"/>
    </xf>
    <xf numFmtId="0" fontId="10" fillId="0" borderId="0" xfId="1" applyFont="1" applyFill="1" applyBorder="1" applyAlignment="1" applyProtection="1">
      <alignment vertical="center"/>
    </xf>
    <xf numFmtId="165" fontId="13" fillId="0" borderId="2" xfId="1" applyNumberFormat="1" applyFont="1" applyFill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 applyProtection="1">
      <alignment horizontal="center" vertical="center"/>
    </xf>
    <xf numFmtId="0" fontId="9" fillId="2" borderId="14" xfId="1" applyFont="1" applyFill="1" applyBorder="1" applyAlignment="1" applyProtection="1">
      <alignment horizontal="center" vertical="center"/>
    </xf>
    <xf numFmtId="0" fontId="12" fillId="2" borderId="1" xfId="1" applyFont="1" applyFill="1" applyBorder="1" applyAlignment="1" applyProtection="1">
      <alignment vertical="center"/>
    </xf>
    <xf numFmtId="14" fontId="13" fillId="0" borderId="0" xfId="1" applyNumberFormat="1" applyFont="1" applyFill="1" applyBorder="1" applyAlignment="1" applyProtection="1">
      <alignment horizontal="left" vertical="center"/>
      <protection locked="0"/>
    </xf>
    <xf numFmtId="0" fontId="3" fillId="2" borderId="30" xfId="1" applyFont="1" applyFill="1" applyBorder="1" applyAlignment="1" applyProtection="1">
      <alignment horizontal="center" vertical="center"/>
    </xf>
    <xf numFmtId="0" fontId="1" fillId="0" borderId="31" xfId="1" applyFill="1" applyBorder="1" applyAlignment="1" applyProtection="1">
      <alignment horizontal="center" vertical="center"/>
    </xf>
    <xf numFmtId="0" fontId="1" fillId="0" borderId="31" xfId="1" applyFont="1" applyFill="1" applyBorder="1" applyAlignment="1" applyProtection="1">
      <alignment horizontal="center" vertical="center"/>
    </xf>
    <xf numFmtId="1" fontId="1" fillId="0" borderId="31" xfId="1" applyNumberFormat="1" applyFont="1" applyFill="1" applyBorder="1" applyAlignment="1" applyProtection="1">
      <alignment horizontal="center" vertical="center"/>
    </xf>
    <xf numFmtId="0" fontId="1" fillId="2" borderId="31" xfId="1" applyFont="1" applyFill="1" applyBorder="1" applyAlignment="1" applyProtection="1">
      <alignment vertical="center"/>
    </xf>
    <xf numFmtId="16" fontId="1" fillId="2" borderId="31" xfId="1" applyNumberFormat="1" applyFont="1" applyFill="1" applyBorder="1" applyAlignment="1" applyProtection="1">
      <alignment horizontal="center" vertical="center"/>
    </xf>
    <xf numFmtId="1" fontId="1" fillId="2" borderId="31" xfId="1" applyNumberFormat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/>
    </xf>
    <xf numFmtId="0" fontId="1" fillId="0" borderId="4" xfId="1" applyFill="1" applyBorder="1" applyAlignment="1" applyProtection="1">
      <alignment horizontal="center" vertical="center"/>
    </xf>
    <xf numFmtId="0" fontId="1" fillId="0" borderId="4" xfId="1" applyFont="1" applyFill="1" applyBorder="1" applyAlignment="1" applyProtection="1">
      <alignment horizontal="center" vertical="center"/>
    </xf>
    <xf numFmtId="1" fontId="1" fillId="0" borderId="4" xfId="1" applyNumberFormat="1" applyFont="1" applyFill="1" applyBorder="1" applyAlignment="1" applyProtection="1">
      <alignment horizontal="center" vertical="center"/>
    </xf>
    <xf numFmtId="0" fontId="1" fillId="2" borderId="4" xfId="1" applyFont="1" applyFill="1" applyBorder="1" applyAlignment="1" applyProtection="1">
      <alignment vertical="center"/>
    </xf>
    <xf numFmtId="16" fontId="1" fillId="2" borderId="4" xfId="1" applyNumberFormat="1" applyFont="1" applyFill="1" applyBorder="1" applyAlignment="1" applyProtection="1">
      <alignment horizontal="center" vertical="center"/>
    </xf>
    <xf numFmtId="0" fontId="12" fillId="4" borderId="14" xfId="1" applyFont="1" applyFill="1" applyBorder="1" applyAlignment="1" applyProtection="1">
      <alignment horizontal="center" vertical="center" wrapText="1"/>
      <protection locked="0"/>
    </xf>
    <xf numFmtId="166" fontId="13" fillId="0" borderId="16" xfId="1" applyNumberFormat="1" applyFont="1" applyFill="1" applyBorder="1" applyAlignment="1" applyProtection="1">
      <alignment horizontal="center" vertical="center"/>
    </xf>
    <xf numFmtId="0" fontId="12" fillId="2" borderId="7" xfId="1" applyFont="1" applyFill="1" applyBorder="1" applyAlignment="1">
      <alignment vertical="center"/>
    </xf>
    <xf numFmtId="1" fontId="13" fillId="4" borderId="16" xfId="1" applyNumberFormat="1" applyFont="1" applyFill="1" applyBorder="1" applyAlignment="1" applyProtection="1">
      <alignment horizontal="center" vertical="center"/>
      <protection locked="0"/>
    </xf>
    <xf numFmtId="1" fontId="13" fillId="4" borderId="7" xfId="1" applyNumberFormat="1" applyFont="1" applyFill="1" applyBorder="1" applyAlignment="1" applyProtection="1">
      <alignment horizontal="center" vertical="center"/>
      <protection locked="0"/>
    </xf>
    <xf numFmtId="0" fontId="12" fillId="0" borderId="13" xfId="1" applyFont="1" applyBorder="1" applyAlignment="1" applyProtection="1">
      <alignment horizontal="center" vertical="center" wrapText="1"/>
    </xf>
    <xf numFmtId="2" fontId="13" fillId="0" borderId="7" xfId="1" applyNumberFormat="1" applyFont="1" applyBorder="1" applyAlignment="1" applyProtection="1">
      <alignment horizontal="center" vertical="center"/>
    </xf>
    <xf numFmtId="164" fontId="13" fillId="0" borderId="7" xfId="1" applyNumberFormat="1" applyFont="1" applyBorder="1" applyAlignment="1" applyProtection="1">
      <alignment horizontal="center" vertical="center"/>
    </xf>
    <xf numFmtId="2" fontId="13" fillId="0" borderId="16" xfId="1" applyNumberFormat="1" applyFont="1" applyBorder="1" applyAlignment="1" applyProtection="1">
      <alignment horizontal="center" vertical="center"/>
    </xf>
    <xf numFmtId="164" fontId="13" fillId="0" borderId="16" xfId="1" applyNumberFormat="1" applyFont="1" applyBorder="1" applyAlignment="1" applyProtection="1">
      <alignment horizontal="center" vertical="center"/>
    </xf>
    <xf numFmtId="164" fontId="12" fillId="0" borderId="11" xfId="1" applyNumberFormat="1" applyFont="1" applyBorder="1" applyAlignment="1" applyProtection="1">
      <alignment horizontal="center" vertical="center" wrapText="1"/>
    </xf>
    <xf numFmtId="164" fontId="12" fillId="0" borderId="7" xfId="1" applyNumberFormat="1" applyFont="1" applyBorder="1" applyAlignment="1" applyProtection="1">
      <alignment horizontal="center" vertical="center"/>
    </xf>
    <xf numFmtId="164" fontId="12" fillId="0" borderId="16" xfId="1" applyNumberFormat="1" applyFont="1" applyBorder="1" applyAlignment="1" applyProtection="1">
      <alignment horizontal="center" vertical="center"/>
    </xf>
    <xf numFmtId="0" fontId="12" fillId="0" borderId="14" xfId="1" applyFont="1" applyBorder="1" applyAlignment="1" applyProtection="1">
      <alignment horizontal="center" vertical="center" wrapText="1"/>
    </xf>
    <xf numFmtId="164" fontId="12" fillId="0" borderId="8" xfId="1" applyNumberFormat="1" applyFont="1" applyBorder="1" applyAlignment="1" applyProtection="1">
      <alignment horizontal="center" vertical="center"/>
    </xf>
    <xf numFmtId="164" fontId="12" fillId="0" borderId="12" xfId="1" applyNumberFormat="1" applyFont="1" applyBorder="1" applyAlignment="1" applyProtection="1">
      <alignment horizontal="center" vertical="center"/>
    </xf>
    <xf numFmtId="0" fontId="12" fillId="0" borderId="27" xfId="1" applyFont="1" applyBorder="1" applyAlignment="1" applyProtection="1">
      <alignment horizontal="center" vertical="center"/>
    </xf>
    <xf numFmtId="2" fontId="9" fillId="2" borderId="0" xfId="1" applyNumberFormat="1" applyFont="1" applyFill="1" applyBorder="1" applyAlignment="1" applyProtection="1">
      <alignment vertical="center"/>
    </xf>
    <xf numFmtId="0" fontId="1" fillId="2" borderId="2" xfId="1" applyFont="1" applyFill="1" applyBorder="1" applyAlignment="1">
      <alignment vertical="center"/>
    </xf>
    <xf numFmtId="0" fontId="13" fillId="4" borderId="17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vertical="center"/>
    </xf>
    <xf numFmtId="0" fontId="12" fillId="0" borderId="7" xfId="1" applyFont="1" applyBorder="1" applyAlignment="1" applyProtection="1">
      <alignment horizontal="center" vertical="center" wrapText="1"/>
    </xf>
    <xf numFmtId="0" fontId="15" fillId="0" borderId="0" xfId="1" applyFont="1" applyBorder="1" applyAlignment="1" applyProtection="1">
      <alignment vertical="top"/>
    </xf>
    <xf numFmtId="0" fontId="12" fillId="0" borderId="8" xfId="1" applyFont="1" applyFill="1" applyBorder="1" applyAlignment="1" applyProtection="1">
      <alignment horizontal="center" vertical="center" wrapText="1"/>
    </xf>
    <xf numFmtId="166" fontId="12" fillId="0" borderId="16" xfId="1" applyNumberFormat="1" applyFont="1" applyFill="1" applyBorder="1" applyAlignment="1" applyProtection="1">
      <alignment horizontal="center" vertical="center"/>
    </xf>
    <xf numFmtId="0" fontId="12" fillId="0" borderId="6" xfId="1" applyFont="1" applyBorder="1" applyAlignment="1" applyProtection="1">
      <alignment horizontal="center" vertical="center" wrapText="1"/>
    </xf>
    <xf numFmtId="1" fontId="11" fillId="0" borderId="2" xfId="1" applyNumberFormat="1" applyFont="1" applyFill="1" applyBorder="1" applyAlignment="1" applyProtection="1">
      <alignment horizontal="center" vertical="center"/>
    </xf>
    <xf numFmtId="0" fontId="15" fillId="0" borderId="31" xfId="1" applyFont="1" applyFill="1" applyBorder="1" applyAlignment="1" applyProtection="1">
      <alignment vertical="center"/>
    </xf>
    <xf numFmtId="0" fontId="15" fillId="0" borderId="32" xfId="1" applyFont="1" applyFill="1" applyBorder="1" applyAlignment="1" applyProtection="1">
      <alignment vertical="center"/>
    </xf>
    <xf numFmtId="0" fontId="12" fillId="0" borderId="8" xfId="1" applyFont="1" applyBorder="1" applyAlignment="1" applyProtection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</xf>
    <xf numFmtId="1" fontId="10" fillId="2" borderId="41" xfId="1" applyNumberFormat="1" applyFont="1" applyFill="1" applyBorder="1" applyAlignment="1" applyProtection="1">
      <alignment horizontal="center" vertical="center"/>
    </xf>
    <xf numFmtId="1" fontId="13" fillId="2" borderId="17" xfId="1" applyNumberFormat="1" applyFont="1" applyFill="1" applyBorder="1" applyAlignment="1" applyProtection="1">
      <alignment horizontal="center" vertical="center"/>
    </xf>
    <xf numFmtId="1" fontId="13" fillId="2" borderId="7" xfId="1" applyNumberFormat="1" applyFont="1" applyFill="1" applyBorder="1" applyAlignment="1" applyProtection="1">
      <alignment horizontal="center" vertical="center"/>
    </xf>
    <xf numFmtId="0" fontId="12" fillId="2" borderId="7" xfId="1" applyFont="1" applyFill="1" applyBorder="1" applyAlignment="1" applyProtection="1">
      <alignment horizontal="center" vertical="center"/>
    </xf>
    <xf numFmtId="165" fontId="13" fillId="2" borderId="7" xfId="1" applyNumberFormat="1" applyFont="1" applyFill="1" applyBorder="1" applyAlignment="1" applyProtection="1">
      <alignment horizontal="center" vertical="center"/>
    </xf>
    <xf numFmtId="2" fontId="13" fillId="0" borderId="16" xfId="1" applyNumberFormat="1" applyFont="1" applyFill="1" applyBorder="1" applyAlignment="1" applyProtection="1">
      <alignment horizontal="center" vertical="center"/>
    </xf>
    <xf numFmtId="2" fontId="13" fillId="0" borderId="12" xfId="1" applyNumberFormat="1" applyFont="1" applyFill="1" applyBorder="1" applyAlignment="1" applyProtection="1">
      <alignment horizontal="center" vertical="center"/>
    </xf>
    <xf numFmtId="0" fontId="12" fillId="0" borderId="34" xfId="1" applyFont="1" applyBorder="1" applyAlignment="1" applyProtection="1">
      <alignment horizontal="center" vertical="center"/>
    </xf>
    <xf numFmtId="164" fontId="12" fillId="0" borderId="34" xfId="1" applyNumberFormat="1" applyFont="1" applyBorder="1" applyAlignment="1" applyProtection="1">
      <alignment horizontal="center" vertical="center"/>
    </xf>
    <xf numFmtId="2" fontId="13" fillId="0" borderId="8" xfId="1" applyNumberFormat="1" applyFont="1" applyBorder="1" applyAlignment="1" applyProtection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</xf>
    <xf numFmtId="0" fontId="12" fillId="0" borderId="14" xfId="1" applyFont="1" applyFill="1" applyBorder="1" applyAlignment="1" applyProtection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</xf>
    <xf numFmtId="0" fontId="12" fillId="0" borderId="0" xfId="1" applyFont="1" applyFill="1" applyBorder="1" applyAlignment="1" applyProtection="1">
      <alignment horizontal="center" vertical="center" wrapText="1"/>
    </xf>
    <xf numFmtId="166" fontId="12" fillId="2" borderId="12" xfId="1" applyNumberFormat="1" applyFont="1" applyFill="1" applyBorder="1" applyAlignment="1" applyProtection="1">
      <alignment horizontal="center" vertical="center"/>
    </xf>
    <xf numFmtId="0" fontId="13" fillId="4" borderId="16" xfId="1" applyFont="1" applyFill="1" applyBorder="1" applyAlignment="1" applyProtection="1">
      <alignment horizontal="center" vertical="center"/>
      <protection locked="0"/>
    </xf>
    <xf numFmtId="0" fontId="13" fillId="0" borderId="0" xfId="1" applyFont="1" applyFill="1" applyBorder="1" applyAlignment="1" applyProtection="1">
      <alignment horizontal="left" vertical="center"/>
    </xf>
    <xf numFmtId="0" fontId="12" fillId="0" borderId="7" xfId="1" applyFont="1" applyFill="1" applyBorder="1" applyAlignment="1" applyProtection="1">
      <alignment horizontal="center" vertical="center" wrapText="1"/>
    </xf>
    <xf numFmtId="0" fontId="12" fillId="2" borderId="13" xfId="1" applyFont="1" applyFill="1" applyBorder="1" applyAlignment="1" applyProtection="1">
      <alignment horizontal="center" vertical="center"/>
    </xf>
    <xf numFmtId="0" fontId="13" fillId="2" borderId="16" xfId="1" applyFont="1" applyFill="1" applyBorder="1" applyAlignment="1" applyProtection="1">
      <alignment horizontal="center" vertical="center"/>
    </xf>
    <xf numFmtId="0" fontId="12" fillId="2" borderId="6" xfId="1" applyFont="1" applyFill="1" applyBorder="1" applyAlignment="1" applyProtection="1">
      <alignment horizontal="center" vertical="center"/>
    </xf>
    <xf numFmtId="0" fontId="12" fillId="2" borderId="11" xfId="1" applyFont="1" applyFill="1" applyBorder="1" applyAlignment="1" applyProtection="1">
      <alignment horizontal="center" vertical="center"/>
    </xf>
    <xf numFmtId="1" fontId="12" fillId="2" borderId="7" xfId="1" applyNumberFormat="1" applyFont="1" applyFill="1" applyBorder="1" applyAlignment="1" applyProtection="1">
      <alignment horizontal="center" vertical="center"/>
    </xf>
    <xf numFmtId="1" fontId="12" fillId="2" borderId="16" xfId="1" applyNumberFormat="1" applyFont="1" applyFill="1" applyBorder="1" applyAlignment="1" applyProtection="1">
      <alignment horizontal="center" vertical="center"/>
    </xf>
    <xf numFmtId="2" fontId="13" fillId="4" borderId="16" xfId="1" applyNumberFormat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</xf>
    <xf numFmtId="0" fontId="12" fillId="0" borderId="14" xfId="1" applyFont="1" applyBorder="1" applyAlignment="1" applyProtection="1">
      <alignment horizontal="center" vertical="center"/>
    </xf>
    <xf numFmtId="0" fontId="12" fillId="0" borderId="15" xfId="1" applyFont="1" applyBorder="1" applyAlignment="1" applyProtection="1">
      <alignment horizontal="center" vertical="center"/>
    </xf>
    <xf numFmtId="0" fontId="12" fillId="2" borderId="1" xfId="1" applyFont="1" applyFill="1" applyBorder="1" applyAlignment="1" applyProtection="1">
      <alignment horizontal="center" vertical="center"/>
    </xf>
    <xf numFmtId="0" fontId="12" fillId="2" borderId="0" xfId="1" applyFont="1" applyFill="1" applyBorder="1" applyAlignment="1" applyProtection="1">
      <alignment horizontal="center" vertical="center"/>
    </xf>
    <xf numFmtId="0" fontId="12" fillId="0" borderId="0" xfId="1" applyFont="1" applyFill="1" applyBorder="1" applyAlignment="1" applyProtection="1">
      <alignment horizontal="center" vertical="center"/>
    </xf>
    <xf numFmtId="49" fontId="15" fillId="0" borderId="42" xfId="1" applyNumberFormat="1" applyFont="1" applyBorder="1" applyAlignment="1" applyProtection="1">
      <alignment horizontal="center" vertical="center"/>
    </xf>
    <xf numFmtId="49" fontId="15" fillId="0" borderId="35" xfId="1" applyNumberFormat="1" applyFont="1" applyBorder="1" applyAlignment="1" applyProtection="1">
      <alignment horizontal="center" vertical="center"/>
    </xf>
    <xf numFmtId="49" fontId="15" fillId="0" borderId="36" xfId="1" applyNumberFormat="1" applyFont="1" applyBorder="1" applyAlignment="1" applyProtection="1">
      <alignment horizontal="center" vertical="center"/>
    </xf>
    <xf numFmtId="1" fontId="13" fillId="0" borderId="7" xfId="1" applyNumberFormat="1" applyFont="1" applyBorder="1" applyAlignment="1" applyProtection="1">
      <alignment horizontal="center" vertical="center"/>
    </xf>
    <xf numFmtId="167" fontId="18" fillId="4" borderId="7" xfId="0" applyNumberFormat="1" applyFont="1" applyFill="1" applyBorder="1" applyAlignment="1" applyProtection="1">
      <alignment horizontal="center" vertical="center"/>
      <protection locked="0"/>
    </xf>
    <xf numFmtId="164" fontId="13" fillId="4" borderId="7" xfId="1" applyNumberFormat="1" applyFont="1" applyFill="1" applyBorder="1" applyAlignment="1" applyProtection="1">
      <alignment horizontal="left" vertical="center"/>
      <protection locked="0"/>
    </xf>
    <xf numFmtId="0" fontId="12" fillId="4" borderId="18" xfId="1" applyFont="1" applyFill="1" applyBorder="1" applyAlignment="1" applyProtection="1">
      <alignment horizontal="center" vertical="center"/>
      <protection locked="0"/>
    </xf>
    <xf numFmtId="0" fontId="12" fillId="4" borderId="20" xfId="1" applyFont="1" applyFill="1" applyBorder="1" applyAlignment="1" applyProtection="1">
      <alignment horizontal="center" vertical="center"/>
      <protection locked="0"/>
    </xf>
    <xf numFmtId="0" fontId="12" fillId="4" borderId="19" xfId="1" applyFont="1" applyFill="1" applyBorder="1" applyAlignment="1" applyProtection="1">
      <alignment horizontal="center" vertical="center"/>
      <protection locked="0"/>
    </xf>
    <xf numFmtId="0" fontId="14" fillId="0" borderId="25" xfId="1" applyFont="1" applyBorder="1" applyAlignment="1" applyProtection="1">
      <alignment horizontal="center" vertical="center"/>
    </xf>
    <xf numFmtId="0" fontId="14" fillId="0" borderId="26" xfId="1" applyFont="1" applyBorder="1" applyAlignment="1" applyProtection="1">
      <alignment horizontal="center" vertical="center"/>
    </xf>
    <xf numFmtId="0" fontId="12" fillId="2" borderId="28" xfId="1" applyFont="1" applyFill="1" applyBorder="1" applyAlignment="1" applyProtection="1">
      <alignment horizontal="left" vertical="center"/>
    </xf>
    <xf numFmtId="0" fontId="12" fillId="2" borderId="6" xfId="1" applyFont="1" applyFill="1" applyBorder="1" applyAlignment="1" applyProtection="1">
      <alignment horizontal="left" vertical="center"/>
    </xf>
    <xf numFmtId="49" fontId="12" fillId="4" borderId="17" xfId="1" applyNumberFormat="1" applyFont="1" applyFill="1" applyBorder="1" applyAlignment="1" applyProtection="1">
      <alignment horizontal="left" vertical="center" wrapText="1"/>
      <protection locked="0"/>
    </xf>
    <xf numFmtId="49" fontId="12" fillId="4" borderId="7" xfId="1" applyNumberFormat="1" applyFont="1" applyFill="1" applyBorder="1" applyAlignment="1" applyProtection="1">
      <alignment horizontal="left" vertical="center" wrapText="1"/>
      <protection locked="0"/>
    </xf>
    <xf numFmtId="0" fontId="13" fillId="4" borderId="17" xfId="1" applyFont="1" applyFill="1" applyBorder="1" applyAlignment="1" applyProtection="1">
      <alignment horizontal="left" vertical="center"/>
      <protection locked="0"/>
    </xf>
    <xf numFmtId="0" fontId="13" fillId="4" borderId="29" xfId="1" applyFont="1" applyFill="1" applyBorder="1" applyAlignment="1" applyProtection="1">
      <alignment horizontal="left" vertical="center"/>
      <protection locked="0"/>
    </xf>
    <xf numFmtId="0" fontId="13" fillId="4" borderId="7" xfId="1" applyFont="1" applyFill="1" applyBorder="1" applyAlignment="1" applyProtection="1">
      <alignment horizontal="left" vertical="center"/>
      <protection locked="0"/>
    </xf>
    <xf numFmtId="0" fontId="0" fillId="0" borderId="7" xfId="0" applyBorder="1" applyAlignment="1">
      <alignment horizontal="left" vertical="center"/>
    </xf>
    <xf numFmtId="0" fontId="12" fillId="4" borderId="33" xfId="1" applyFont="1" applyFill="1" applyBorder="1" applyAlignment="1" applyProtection="1">
      <alignment horizontal="center" vertical="center"/>
      <protection locked="0"/>
    </xf>
    <xf numFmtId="0" fontId="12" fillId="4" borderId="35" xfId="1" applyFont="1" applyFill="1" applyBorder="1" applyAlignment="1" applyProtection="1">
      <alignment horizontal="center" vertical="center"/>
      <protection locked="0"/>
    </xf>
    <xf numFmtId="0" fontId="12" fillId="4" borderId="34" xfId="1" applyFont="1" applyFill="1" applyBorder="1" applyAlignment="1" applyProtection="1">
      <alignment horizontal="center" vertical="center"/>
      <protection locked="0"/>
    </xf>
    <xf numFmtId="14" fontId="13" fillId="4" borderId="7" xfId="1" quotePrefix="1" applyNumberFormat="1" applyFont="1" applyFill="1" applyBorder="1" applyAlignment="1" applyProtection="1">
      <alignment horizontal="left" vertical="center"/>
      <protection locked="0"/>
    </xf>
    <xf numFmtId="0" fontId="13" fillId="0" borderId="0" xfId="1" applyFont="1" applyFill="1" applyBorder="1" applyAlignment="1" applyProtection="1">
      <alignment horizontal="left" vertical="center"/>
    </xf>
    <xf numFmtId="0" fontId="19" fillId="0" borderId="7" xfId="1" applyFont="1" applyFill="1" applyBorder="1" applyAlignment="1" applyProtection="1">
      <alignment horizontal="center" vertical="center" wrapText="1"/>
    </xf>
    <xf numFmtId="2" fontId="19" fillId="4" borderId="7" xfId="1" applyNumberFormat="1" applyFont="1" applyFill="1" applyBorder="1" applyAlignment="1" applyProtection="1">
      <alignment horizontal="center" vertical="center" wrapText="1"/>
      <protection locked="0"/>
    </xf>
    <xf numFmtId="0" fontId="12" fillId="4" borderId="7" xfId="1" applyFont="1" applyFill="1" applyBorder="1" applyAlignment="1" applyProtection="1">
      <alignment horizontal="center" vertical="center" wrapText="1"/>
      <protection locked="0"/>
    </xf>
    <xf numFmtId="0" fontId="12" fillId="0" borderId="7" xfId="1" applyFont="1" applyFill="1" applyBorder="1" applyAlignment="1" applyProtection="1">
      <alignment horizontal="center" vertical="center" wrapText="1"/>
    </xf>
    <xf numFmtId="164" fontId="12" fillId="4" borderId="7" xfId="1" applyNumberFormat="1" applyFont="1" applyFill="1" applyBorder="1" applyAlignment="1" applyProtection="1">
      <alignment horizontal="center" vertical="center" wrapText="1"/>
      <protection locked="0"/>
    </xf>
    <xf numFmtId="167" fontId="12" fillId="4" borderId="7" xfId="1" applyNumberFormat="1" applyFont="1" applyFill="1" applyBorder="1" applyAlignment="1" applyProtection="1">
      <alignment horizontal="center" vertical="center"/>
      <protection locked="0"/>
    </xf>
    <xf numFmtId="0" fontId="12" fillId="0" borderId="9" xfId="1" applyFont="1" applyFill="1" applyBorder="1" applyAlignment="1" applyProtection="1">
      <alignment horizontal="center" vertical="center" wrapText="1"/>
    </xf>
    <xf numFmtId="0" fontId="12" fillId="0" borderId="10" xfId="1" applyFont="1" applyFill="1" applyBorder="1" applyAlignment="1" applyProtection="1">
      <alignment horizontal="center" vertical="center" wrapText="1"/>
    </xf>
    <xf numFmtId="0" fontId="12" fillId="0" borderId="13" xfId="1" applyFont="1" applyFill="1" applyBorder="1" applyAlignment="1" applyProtection="1">
      <alignment horizontal="center" vertical="center" wrapText="1"/>
    </xf>
    <xf numFmtId="0" fontId="12" fillId="0" borderId="11" xfId="1" applyFont="1" applyFill="1" applyBorder="1" applyAlignment="1" applyProtection="1">
      <alignment horizontal="center" vertical="center" wrapText="1"/>
    </xf>
    <xf numFmtId="0" fontId="12" fillId="0" borderId="14" xfId="1" applyFont="1" applyFill="1" applyBorder="1" applyAlignment="1" applyProtection="1">
      <alignment horizontal="center" vertical="center"/>
    </xf>
    <xf numFmtId="0" fontId="12" fillId="0" borderId="14" xfId="1" applyFont="1" applyFill="1" applyBorder="1" applyAlignment="1" applyProtection="1">
      <alignment horizontal="center" vertical="center" wrapText="1"/>
    </xf>
    <xf numFmtId="0" fontId="13" fillId="2" borderId="16" xfId="1" applyFont="1" applyFill="1" applyBorder="1" applyAlignment="1" applyProtection="1">
      <alignment horizontal="center" vertical="center"/>
    </xf>
    <xf numFmtId="2" fontId="13" fillId="4" borderId="16" xfId="1" applyNumberFormat="1" applyFont="1" applyFill="1" applyBorder="1" applyAlignment="1" applyProtection="1">
      <alignment horizontal="center" vertical="center"/>
      <protection locked="0"/>
    </xf>
    <xf numFmtId="0" fontId="12" fillId="2" borderId="13" xfId="1" applyFont="1" applyFill="1" applyBorder="1" applyAlignment="1" applyProtection="1">
      <alignment horizontal="center" vertical="center" wrapText="1"/>
    </xf>
    <xf numFmtId="0" fontId="12" fillId="2" borderId="11" xfId="1" applyFont="1" applyFill="1" applyBorder="1" applyAlignment="1" applyProtection="1">
      <alignment horizontal="center" vertical="center" wrapText="1"/>
    </xf>
    <xf numFmtId="0" fontId="12" fillId="0" borderId="15" xfId="1" applyFont="1" applyFill="1" applyBorder="1" applyAlignment="1" applyProtection="1">
      <alignment horizontal="center" vertical="center" wrapText="1"/>
    </xf>
    <xf numFmtId="1" fontId="12" fillId="4" borderId="10" xfId="1" applyNumberFormat="1" applyFont="1" applyFill="1" applyBorder="1" applyAlignment="1" applyProtection="1">
      <alignment horizontal="center" vertical="center"/>
      <protection locked="0"/>
    </xf>
    <xf numFmtId="1" fontId="12" fillId="4" borderId="37" xfId="1" applyNumberFormat="1" applyFont="1" applyFill="1" applyBorder="1" applyAlignment="1" applyProtection="1">
      <alignment horizontal="center" vertical="center"/>
      <protection locked="0"/>
    </xf>
    <xf numFmtId="0" fontId="12" fillId="4" borderId="39" xfId="1" applyFont="1" applyFill="1" applyBorder="1" applyAlignment="1" applyProtection="1">
      <alignment horizontal="center" vertical="center"/>
      <protection locked="0"/>
    </xf>
    <xf numFmtId="0" fontId="12" fillId="4" borderId="40" xfId="1" applyFont="1" applyFill="1" applyBorder="1" applyAlignment="1" applyProtection="1">
      <alignment horizontal="center" vertical="center"/>
      <protection locked="0"/>
    </xf>
    <xf numFmtId="0" fontId="12" fillId="4" borderId="11" xfId="1" applyFont="1" applyFill="1" applyBorder="1" applyAlignment="1" applyProtection="1">
      <alignment horizontal="center" vertical="center"/>
      <protection locked="0"/>
    </xf>
    <xf numFmtId="0" fontId="12" fillId="4" borderId="12" xfId="1" applyFont="1" applyFill="1" applyBorder="1" applyAlignment="1" applyProtection="1">
      <alignment horizontal="center" vertical="center"/>
      <protection locked="0"/>
    </xf>
    <xf numFmtId="0" fontId="9" fillId="2" borderId="7" xfId="1" applyFont="1" applyFill="1" applyBorder="1" applyAlignment="1" applyProtection="1">
      <alignment horizontal="center" vertical="center"/>
    </xf>
    <xf numFmtId="0" fontId="12" fillId="2" borderId="6" xfId="1" applyFont="1" applyFill="1" applyBorder="1" applyAlignment="1" applyProtection="1">
      <alignment horizontal="center" vertical="center"/>
    </xf>
    <xf numFmtId="0" fontId="12" fillId="2" borderId="11" xfId="1" applyFont="1" applyFill="1" applyBorder="1" applyAlignment="1" applyProtection="1">
      <alignment horizontal="center" vertical="center"/>
    </xf>
    <xf numFmtId="1" fontId="12" fillId="2" borderId="7" xfId="1" applyNumberFormat="1" applyFont="1" applyFill="1" applyBorder="1" applyAlignment="1" applyProtection="1">
      <alignment horizontal="center" vertical="center"/>
    </xf>
    <xf numFmtId="1" fontId="12" fillId="2" borderId="16" xfId="1" applyNumberFormat="1" applyFont="1" applyFill="1" applyBorder="1" applyAlignment="1" applyProtection="1">
      <alignment horizontal="center" vertical="center"/>
    </xf>
    <xf numFmtId="166" fontId="12" fillId="2" borderId="8" xfId="1" applyNumberFormat="1" applyFont="1" applyFill="1" applyBorder="1" applyAlignment="1" applyProtection="1">
      <alignment horizontal="center" vertical="center"/>
    </xf>
    <xf numFmtId="166" fontId="12" fillId="2" borderId="12" xfId="1" applyNumberFormat="1" applyFont="1" applyFill="1" applyBorder="1" applyAlignment="1" applyProtection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65" fontId="20" fillId="0" borderId="7" xfId="0" applyNumberFormat="1" applyFont="1" applyBorder="1" applyAlignment="1">
      <alignment horizontal="center" vertical="center"/>
    </xf>
    <xf numFmtId="165" fontId="20" fillId="0" borderId="16" xfId="0" applyNumberFormat="1" applyFont="1" applyBorder="1" applyAlignment="1">
      <alignment horizontal="center" vertical="center"/>
    </xf>
    <xf numFmtId="0" fontId="12" fillId="2" borderId="13" xfId="1" applyFont="1" applyFill="1" applyBorder="1" applyAlignment="1" applyProtection="1">
      <alignment horizontal="center" vertical="center"/>
    </xf>
    <xf numFmtId="0" fontId="12" fillId="2" borderId="14" xfId="1" applyFont="1" applyFill="1" applyBorder="1" applyAlignment="1" applyProtection="1">
      <alignment horizontal="center" vertical="center"/>
    </xf>
    <xf numFmtId="165" fontId="12" fillId="2" borderId="14" xfId="1" applyNumberFormat="1" applyFont="1" applyFill="1" applyBorder="1" applyAlignment="1" applyProtection="1">
      <alignment horizontal="center" vertical="center"/>
    </xf>
    <xf numFmtId="165" fontId="12" fillId="2" borderId="15" xfId="1" applyNumberFormat="1" applyFont="1" applyFill="1" applyBorder="1" applyAlignment="1" applyProtection="1">
      <alignment horizontal="center" vertical="center"/>
    </xf>
    <xf numFmtId="0" fontId="13" fillId="2" borderId="6" xfId="1" applyFont="1" applyFill="1" applyBorder="1" applyAlignment="1" applyProtection="1">
      <alignment horizontal="left" vertical="center" wrapText="1"/>
    </xf>
    <xf numFmtId="0" fontId="13" fillId="2" borderId="7" xfId="1" applyFont="1" applyFill="1" applyBorder="1" applyAlignment="1" applyProtection="1">
      <alignment horizontal="left" vertical="center" wrapText="1"/>
    </xf>
    <xf numFmtId="165" fontId="12" fillId="4" borderId="7" xfId="1" applyNumberFormat="1" applyFont="1" applyFill="1" applyBorder="1" applyAlignment="1" applyProtection="1">
      <alignment horizontal="center" vertical="center" wrapText="1"/>
      <protection locked="0"/>
    </xf>
    <xf numFmtId="165" fontId="12" fillId="4" borderId="8" xfId="1" applyNumberFormat="1" applyFont="1" applyFill="1" applyBorder="1" applyAlignment="1" applyProtection="1">
      <alignment horizontal="center" vertical="center" wrapText="1"/>
      <protection locked="0"/>
    </xf>
    <xf numFmtId="2" fontId="12" fillId="4" borderId="33" xfId="1" applyNumberFormat="1" applyFont="1" applyFill="1" applyBorder="1" applyAlignment="1" applyProtection="1">
      <alignment horizontal="center" vertical="center"/>
      <protection locked="0"/>
    </xf>
    <xf numFmtId="2" fontId="12" fillId="4" borderId="36" xfId="1" applyNumberFormat="1" applyFont="1" applyFill="1" applyBorder="1" applyAlignment="1" applyProtection="1">
      <alignment horizontal="center" vertical="center"/>
      <protection locked="0"/>
    </xf>
    <xf numFmtId="1" fontId="12" fillId="4" borderId="33" xfId="1" applyNumberFormat="1" applyFont="1" applyFill="1" applyBorder="1" applyAlignment="1" applyProtection="1">
      <alignment horizontal="center" vertical="center"/>
      <protection locked="0"/>
    </xf>
    <xf numFmtId="1" fontId="12" fillId="4" borderId="36" xfId="1" applyNumberFormat="1" applyFont="1" applyFill="1" applyBorder="1" applyAlignment="1" applyProtection="1">
      <alignment horizontal="center" vertical="center"/>
      <protection locked="0"/>
    </xf>
    <xf numFmtId="166" fontId="12" fillId="2" borderId="7" xfId="1" applyNumberFormat="1" applyFont="1" applyFill="1" applyBorder="1" applyAlignment="1" applyProtection="1">
      <alignment horizontal="center" vertical="center"/>
    </xf>
    <xf numFmtId="0" fontId="13" fillId="2" borderId="11" xfId="1" applyFont="1" applyFill="1" applyBorder="1" applyAlignment="1" applyProtection="1">
      <alignment horizontal="left" vertical="center" wrapText="1"/>
    </xf>
    <xf numFmtId="0" fontId="13" fillId="2" borderId="16" xfId="1" applyFont="1" applyFill="1" applyBorder="1" applyAlignment="1" applyProtection="1">
      <alignment horizontal="left" vertical="center" wrapText="1"/>
    </xf>
    <xf numFmtId="166" fontId="12" fillId="2" borderId="16" xfId="1" applyNumberFormat="1" applyFont="1" applyFill="1" applyBorder="1" applyAlignment="1" applyProtection="1">
      <alignment horizontal="center" vertical="center"/>
    </xf>
    <xf numFmtId="1" fontId="12" fillId="2" borderId="14" xfId="1" applyNumberFormat="1" applyFont="1" applyFill="1" applyBorder="1" applyAlignment="1" applyProtection="1">
      <alignment horizontal="center" vertical="center" wrapText="1"/>
    </xf>
    <xf numFmtId="1" fontId="12" fillId="2" borderId="14" xfId="1" applyNumberFormat="1" applyFont="1" applyFill="1" applyBorder="1" applyAlignment="1" applyProtection="1">
      <alignment horizontal="center" vertical="center"/>
    </xf>
    <xf numFmtId="2" fontId="12" fillId="2" borderId="14" xfId="1" applyNumberFormat="1" applyFont="1" applyFill="1" applyBorder="1" applyAlignment="1" applyProtection="1">
      <alignment horizontal="center" vertical="center" wrapText="1"/>
    </xf>
    <xf numFmtId="2" fontId="12" fillId="2" borderId="14" xfId="1" applyNumberFormat="1" applyFont="1" applyFill="1" applyBorder="1" applyAlignment="1" applyProtection="1">
      <alignment horizontal="center" vertical="center"/>
    </xf>
    <xf numFmtId="0" fontId="12" fillId="2" borderId="14" xfId="1" applyFont="1" applyFill="1" applyBorder="1" applyAlignment="1" applyProtection="1">
      <alignment horizontal="center" vertical="center" wrapText="1"/>
    </xf>
    <xf numFmtId="0" fontId="12" fillId="2" borderId="15" xfId="1" applyFont="1" applyFill="1" applyBorder="1" applyAlignment="1" applyProtection="1">
      <alignment horizontal="center" vertical="center" wrapText="1"/>
    </xf>
    <xf numFmtId="0" fontId="13" fillId="0" borderId="16" xfId="1" applyFont="1" applyFill="1" applyBorder="1" applyAlignment="1" applyProtection="1">
      <alignment horizontal="center" vertical="center"/>
    </xf>
    <xf numFmtId="0" fontId="13" fillId="4" borderId="16" xfId="1" applyFont="1" applyFill="1" applyBorder="1" applyAlignment="1" applyProtection="1">
      <alignment horizontal="center" vertical="center"/>
    </xf>
    <xf numFmtId="1" fontId="13" fillId="4" borderId="16" xfId="1" applyNumberFormat="1" applyFont="1" applyFill="1" applyBorder="1" applyAlignment="1" applyProtection="1">
      <alignment horizontal="center" vertical="center"/>
    </xf>
    <xf numFmtId="0" fontId="13" fillId="4" borderId="16" xfId="1" applyFont="1" applyFill="1" applyBorder="1" applyAlignment="1" applyProtection="1">
      <alignment horizontal="center" vertical="center"/>
      <protection locked="0"/>
    </xf>
    <xf numFmtId="0" fontId="13" fillId="4" borderId="12" xfId="1" applyFont="1" applyFill="1" applyBorder="1" applyAlignment="1" applyProtection="1">
      <alignment horizontal="center" vertical="center"/>
      <protection locked="0"/>
    </xf>
    <xf numFmtId="0" fontId="13" fillId="4" borderId="11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</xf>
    <xf numFmtId="0" fontId="15" fillId="0" borderId="13" xfId="1" applyFont="1" applyBorder="1" applyAlignment="1" applyProtection="1">
      <alignment horizontal="center" vertical="center"/>
    </xf>
    <xf numFmtId="0" fontId="15" fillId="0" borderId="14" xfId="1" applyFont="1" applyBorder="1" applyAlignment="1" applyProtection="1">
      <alignment horizontal="center" vertical="center"/>
    </xf>
    <xf numFmtId="0" fontId="15" fillId="0" borderId="15" xfId="1" applyFont="1" applyBorder="1" applyAlignment="1" applyProtection="1">
      <alignment horizontal="center" vertical="center"/>
    </xf>
    <xf numFmtId="0" fontId="12" fillId="2" borderId="4" xfId="1" applyFont="1" applyFill="1" applyBorder="1" applyAlignment="1" applyProtection="1">
      <alignment horizontal="center" vertical="center"/>
    </xf>
    <xf numFmtId="0" fontId="12" fillId="2" borderId="5" xfId="1" applyFont="1" applyFill="1" applyBorder="1" applyAlignment="1" applyProtection="1">
      <alignment horizontal="center" vertical="center"/>
    </xf>
    <xf numFmtId="0" fontId="12" fillId="2" borderId="31" xfId="1" applyFont="1" applyFill="1" applyBorder="1" applyAlignment="1" applyProtection="1">
      <alignment horizontal="center" vertical="center"/>
    </xf>
    <xf numFmtId="0" fontId="12" fillId="2" borderId="32" xfId="1" applyFont="1" applyFill="1" applyBorder="1" applyAlignment="1" applyProtection="1">
      <alignment horizontal="center" vertical="center"/>
    </xf>
    <xf numFmtId="0" fontId="12" fillId="2" borderId="1" xfId="1" applyFont="1" applyFill="1" applyBorder="1" applyAlignment="1" applyProtection="1">
      <alignment horizontal="center" vertical="center"/>
    </xf>
    <xf numFmtId="0" fontId="12" fillId="2" borderId="0" xfId="1" applyFont="1" applyFill="1" applyBorder="1" applyAlignment="1" applyProtection="1">
      <alignment horizontal="center" vertical="center"/>
    </xf>
    <xf numFmtId="16" fontId="13" fillId="2" borderId="38" xfId="1" applyNumberFormat="1" applyFont="1" applyFill="1" applyBorder="1" applyAlignment="1" applyProtection="1">
      <alignment horizontal="center" vertical="center"/>
    </xf>
    <xf numFmtId="16" fontId="13" fillId="2" borderId="31" xfId="1" applyNumberFormat="1" applyFont="1" applyFill="1" applyBorder="1" applyAlignment="1" applyProtection="1">
      <alignment horizontal="center" vertical="center"/>
    </xf>
    <xf numFmtId="16" fontId="13" fillId="2" borderId="32" xfId="1" applyNumberFormat="1" applyFont="1" applyFill="1" applyBorder="1" applyAlignment="1" applyProtection="1">
      <alignment horizontal="center" vertical="center"/>
    </xf>
    <xf numFmtId="16" fontId="13" fillId="2" borderId="18" xfId="1" applyNumberFormat="1" applyFont="1" applyFill="1" applyBorder="1" applyAlignment="1" applyProtection="1">
      <alignment horizontal="center" vertical="center"/>
    </xf>
    <xf numFmtId="16" fontId="13" fillId="2" borderId="20" xfId="1" applyNumberFormat="1" applyFont="1" applyFill="1" applyBorder="1" applyAlignment="1" applyProtection="1">
      <alignment horizontal="center" vertical="center"/>
    </xf>
    <xf numFmtId="16" fontId="13" fillId="2" borderId="21" xfId="1" applyNumberFormat="1" applyFont="1" applyFill="1" applyBorder="1" applyAlignment="1" applyProtection="1">
      <alignment horizontal="center" vertical="center"/>
    </xf>
    <xf numFmtId="0" fontId="12" fillId="0" borderId="13" xfId="1" applyFont="1" applyBorder="1" applyAlignment="1" applyProtection="1">
      <alignment horizontal="center" vertical="center"/>
    </xf>
    <xf numFmtId="0" fontId="12" fillId="0" borderId="14" xfId="1" applyFont="1" applyBorder="1" applyAlignment="1" applyProtection="1">
      <alignment horizontal="center" vertical="center"/>
    </xf>
    <xf numFmtId="0" fontId="12" fillId="0" borderId="15" xfId="1" applyFont="1" applyBorder="1" applyAlignment="1" applyProtection="1">
      <alignment horizontal="center" vertical="center"/>
    </xf>
    <xf numFmtId="0" fontId="12" fillId="0" borderId="0" xfId="1" applyFont="1" applyFill="1" applyBorder="1" applyAlignment="1" applyProtection="1">
      <alignment horizontal="center" vertical="center" wrapText="1"/>
    </xf>
    <xf numFmtId="165" fontId="12" fillId="0" borderId="0" xfId="1" applyNumberFormat="1" applyFont="1" applyFill="1" applyBorder="1" applyAlignment="1" applyProtection="1">
      <alignment horizontal="center" vertical="center"/>
    </xf>
    <xf numFmtId="0" fontId="12" fillId="0" borderId="0" xfId="1" applyFont="1" applyFill="1" applyBorder="1" applyAlignment="1" applyProtection="1">
      <alignment horizontal="center" vertical="center"/>
    </xf>
    <xf numFmtId="0" fontId="15" fillId="0" borderId="13" xfId="1" applyFont="1" applyFill="1" applyBorder="1" applyAlignment="1" applyProtection="1">
      <alignment horizontal="center" vertical="center"/>
    </xf>
    <xf numFmtId="0" fontId="15" fillId="0" borderId="14" xfId="1" applyFont="1" applyFill="1" applyBorder="1" applyAlignment="1" applyProtection="1">
      <alignment horizontal="center" vertical="center"/>
    </xf>
    <xf numFmtId="0" fontId="15" fillId="0" borderId="22" xfId="1" applyFont="1" applyBorder="1" applyAlignment="1" applyProtection="1">
      <alignment horizontal="center" vertical="center"/>
    </xf>
    <xf numFmtId="0" fontId="15" fillId="0" borderId="23" xfId="1" applyFont="1" applyBorder="1" applyAlignment="1" applyProtection="1">
      <alignment horizontal="center" vertical="center"/>
    </xf>
    <xf numFmtId="0" fontId="15" fillId="0" borderId="24" xfId="1" applyFont="1" applyBorder="1" applyAlignment="1" applyProtection="1">
      <alignment horizontal="center" vertical="center"/>
    </xf>
    <xf numFmtId="0" fontId="13" fillId="0" borderId="7" xfId="1" applyFont="1" applyBorder="1" applyAlignment="1">
      <alignment horizontal="center" vertical="center"/>
    </xf>
    <xf numFmtId="49" fontId="15" fillId="0" borderId="42" xfId="1" applyNumberFormat="1" applyFont="1" applyBorder="1" applyAlignment="1" applyProtection="1">
      <alignment horizontal="center" vertical="center"/>
    </xf>
    <xf numFmtId="49" fontId="15" fillId="0" borderId="35" xfId="1" applyNumberFormat="1" applyFont="1" applyBorder="1" applyAlignment="1" applyProtection="1">
      <alignment horizontal="center" vertical="center"/>
    </xf>
    <xf numFmtId="49" fontId="15" fillId="0" borderId="36" xfId="1" applyNumberFormat="1" applyFont="1" applyBorder="1" applyAlignment="1" applyProtection="1">
      <alignment horizontal="center" vertical="center"/>
    </xf>
    <xf numFmtId="49" fontId="15" fillId="0" borderId="10" xfId="1" applyNumberFormat="1" applyFont="1" applyBorder="1" applyAlignment="1" applyProtection="1">
      <alignment horizontal="center" vertical="center"/>
    </xf>
    <xf numFmtId="49" fontId="15" fillId="0" borderId="43" xfId="1" applyNumberFormat="1" applyFont="1" applyBorder="1" applyAlignment="1" applyProtection="1">
      <alignment horizontal="center" vertical="center"/>
    </xf>
    <xf numFmtId="49" fontId="15" fillId="0" borderId="37" xfId="1" applyNumberFormat="1" applyFont="1" applyBorder="1" applyAlignment="1" applyProtection="1">
      <alignment horizontal="center" vertical="center"/>
    </xf>
    <xf numFmtId="0" fontId="9" fillId="0" borderId="3" xfId="1" applyFont="1" applyFill="1" applyBorder="1" applyAlignment="1" applyProtection="1">
      <alignment horizontal="left" vertical="center"/>
    </xf>
    <xf numFmtId="0" fontId="9" fillId="0" borderId="4" xfId="1" applyFont="1" applyFill="1" applyBorder="1" applyAlignment="1" applyProtection="1">
      <alignment horizontal="left" vertical="center"/>
    </xf>
    <xf numFmtId="0" fontId="1" fillId="0" borderId="25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0" fontId="1" fillId="0" borderId="27" xfId="1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colors>
    <mruColors>
      <color rgb="FFB5C7F9"/>
      <color rgb="FF97A2F1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356534</xdr:colOff>
      <xdr:row>12</xdr:row>
      <xdr:rowOff>226546</xdr:rowOff>
    </xdr:from>
    <xdr:to>
      <xdr:col>3</xdr:col>
      <xdr:colOff>813734</xdr:colOff>
      <xdr:row>12</xdr:row>
      <xdr:rowOff>226546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5490509" y="5189071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393700</xdr:colOff>
      <xdr:row>12</xdr:row>
      <xdr:rowOff>203200</xdr:rowOff>
    </xdr:from>
    <xdr:to>
      <xdr:col>7</xdr:col>
      <xdr:colOff>850900</xdr:colOff>
      <xdr:row>12</xdr:row>
      <xdr:rowOff>203200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10261600" y="51657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292100</xdr:colOff>
      <xdr:row>12</xdr:row>
      <xdr:rowOff>190500</xdr:rowOff>
    </xdr:from>
    <xdr:to>
      <xdr:col>11</xdr:col>
      <xdr:colOff>749300</xdr:colOff>
      <xdr:row>12</xdr:row>
      <xdr:rowOff>190500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14817725" y="51530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447222</xdr:colOff>
      <xdr:row>34</xdr:row>
      <xdr:rowOff>205921</xdr:rowOff>
    </xdr:from>
    <xdr:to>
      <xdr:col>2</xdr:col>
      <xdr:colOff>904422</xdr:colOff>
      <xdr:row>34</xdr:row>
      <xdr:rowOff>205921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4238172" y="15007771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1.220\ANDA_Hinj\anda_hinj\TEAM2000\Pramanick\Loratadine\LORta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"/>
      <sheetName val="0.5-SLS"/>
      <sheetName val="2.1-SGF"/>
      <sheetName val="0.1N Hcl"/>
      <sheetName val="4.0Acetate"/>
      <sheetName val="stab"/>
      <sheetName val="Diss-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7"/>
  <sheetViews>
    <sheetView showGridLines="0" tabSelected="1" topLeftCell="A73" zoomScale="55" zoomScaleNormal="55" zoomScaleSheetLayoutView="55" workbookViewId="0">
      <selection activeCell="D98" sqref="D98"/>
    </sheetView>
  </sheetViews>
  <sheetFormatPr defaultColWidth="9.140625" defaultRowHeight="15" customHeight="1" x14ac:dyDescent="0.25"/>
  <cols>
    <col min="1" max="1" width="34.5703125" style="1" customWidth="1"/>
    <col min="2" max="2" width="22.28515625" style="1" customWidth="1"/>
    <col min="3" max="3" width="20.140625" style="1" customWidth="1"/>
    <col min="4" max="4" width="18.85546875" style="1" customWidth="1"/>
    <col min="5" max="5" width="17.85546875" style="1" customWidth="1"/>
    <col min="6" max="6" width="17.5703125" style="1" customWidth="1"/>
    <col min="7" max="7" width="16.7109375" style="1" customWidth="1"/>
    <col min="8" max="8" width="16.28515625" style="1" customWidth="1"/>
    <col min="9" max="9" width="16.42578125" style="1" customWidth="1"/>
    <col min="10" max="10" width="19.5703125" style="1" customWidth="1"/>
    <col min="11" max="11" width="17.5703125" style="1" customWidth="1"/>
    <col min="12" max="13" width="20.5703125" style="1" customWidth="1"/>
    <col min="14" max="14" width="19.140625" style="1" customWidth="1"/>
    <col min="15" max="15" width="14.85546875" style="1" customWidth="1"/>
    <col min="16" max="16" width="18.42578125" style="1" bestFit="1" customWidth="1"/>
    <col min="17" max="17" width="14.7109375" style="1" customWidth="1"/>
    <col min="18" max="18" width="23" style="1" customWidth="1"/>
    <col min="19" max="16384" width="9.140625" style="1"/>
  </cols>
  <sheetData>
    <row r="1" spans="1:20" ht="60.75" customHeight="1" thickBot="1" x14ac:dyDescent="0.3">
      <c r="A1" s="165" t="s">
        <v>119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10" t="s">
        <v>76</v>
      </c>
    </row>
    <row r="2" spans="1:20" s="3" customFormat="1" ht="30" customHeight="1" x14ac:dyDescent="0.25">
      <c r="A2" s="167" t="s">
        <v>1</v>
      </c>
      <c r="B2" s="169" t="s">
        <v>124</v>
      </c>
      <c r="C2" s="169"/>
      <c r="D2" s="169"/>
      <c r="E2" s="169"/>
      <c r="F2" s="169"/>
      <c r="G2" s="169"/>
      <c r="H2" s="169"/>
      <c r="I2" s="45"/>
      <c r="J2" s="72" t="s">
        <v>71</v>
      </c>
      <c r="K2" s="171" t="s">
        <v>101</v>
      </c>
      <c r="L2" s="171"/>
      <c r="M2" s="171"/>
      <c r="N2" s="171"/>
      <c r="O2" s="171"/>
      <c r="P2" s="171"/>
      <c r="Q2" s="171"/>
      <c r="R2" s="172"/>
      <c r="S2" s="2"/>
      <c r="T2" s="2"/>
    </row>
    <row r="3" spans="1:20" s="3" customFormat="1" ht="30" customHeight="1" x14ac:dyDescent="0.25">
      <c r="A3" s="168"/>
      <c r="B3" s="170"/>
      <c r="C3" s="170"/>
      <c r="D3" s="170"/>
      <c r="E3" s="170"/>
      <c r="F3" s="170"/>
      <c r="G3" s="170"/>
      <c r="H3" s="170"/>
      <c r="I3" s="45"/>
      <c r="J3" s="46" t="s">
        <v>0</v>
      </c>
      <c r="K3" s="173" t="s">
        <v>103</v>
      </c>
      <c r="L3" s="173"/>
      <c r="M3" s="173"/>
      <c r="N3" s="173"/>
      <c r="O3" s="173"/>
      <c r="P3" s="173"/>
      <c r="Q3" s="173"/>
      <c r="R3" s="173"/>
    </row>
    <row r="4" spans="1:20" s="3" customFormat="1" ht="30" customHeight="1" x14ac:dyDescent="0.25">
      <c r="A4" s="48" t="s">
        <v>73</v>
      </c>
      <c r="B4" s="161">
        <v>2</v>
      </c>
      <c r="C4" s="161"/>
      <c r="D4" s="161"/>
      <c r="E4" s="161"/>
      <c r="F4" s="161"/>
      <c r="G4" s="161"/>
      <c r="H4" s="161"/>
      <c r="I4" s="45"/>
      <c r="J4" s="46" t="s">
        <v>2</v>
      </c>
      <c r="K4" s="113">
        <v>75</v>
      </c>
      <c r="L4" s="45"/>
      <c r="M4" s="114" t="s">
        <v>92</v>
      </c>
      <c r="N4" s="162" t="s">
        <v>122</v>
      </c>
      <c r="O4" s="163"/>
      <c r="P4" s="163"/>
      <c r="Q4" s="164"/>
      <c r="R4" s="47"/>
    </row>
    <row r="5" spans="1:20" s="3" customFormat="1" ht="30" customHeight="1" x14ac:dyDescent="0.25">
      <c r="A5" s="48" t="s">
        <v>75</v>
      </c>
      <c r="B5" s="173" t="s">
        <v>94</v>
      </c>
      <c r="C5" s="173"/>
      <c r="D5" s="173"/>
      <c r="E5" s="174"/>
      <c r="F5" s="174"/>
      <c r="G5" s="174"/>
      <c r="H5" s="174"/>
      <c r="I5" s="45"/>
      <c r="J5" s="46" t="s">
        <v>74</v>
      </c>
      <c r="K5" s="98" t="s">
        <v>104</v>
      </c>
      <c r="L5" s="45"/>
      <c r="M5" s="96" t="s">
        <v>93</v>
      </c>
      <c r="N5" s="175" t="s">
        <v>123</v>
      </c>
      <c r="O5" s="176"/>
      <c r="P5" s="176"/>
      <c r="Q5" s="177"/>
      <c r="R5" s="47"/>
    </row>
    <row r="6" spans="1:20" s="3" customFormat="1" ht="30" customHeight="1" x14ac:dyDescent="0.25">
      <c r="A6" s="48" t="s">
        <v>5</v>
      </c>
      <c r="B6" s="173" t="s">
        <v>91</v>
      </c>
      <c r="C6" s="173"/>
      <c r="D6" s="173"/>
      <c r="E6" s="174"/>
      <c r="F6" s="174"/>
      <c r="G6" s="174"/>
      <c r="H6" s="174"/>
      <c r="I6" s="49"/>
      <c r="J6" s="141"/>
      <c r="K6" s="50"/>
      <c r="L6" s="45"/>
      <c r="M6" s="96" t="s">
        <v>4</v>
      </c>
      <c r="N6" s="175" t="s">
        <v>126</v>
      </c>
      <c r="O6" s="176"/>
      <c r="P6" s="176"/>
      <c r="Q6" s="177"/>
      <c r="R6" s="47"/>
    </row>
    <row r="7" spans="1:20" s="3" customFormat="1" ht="30" customHeight="1" x14ac:dyDescent="0.25">
      <c r="A7" s="48" t="s">
        <v>70</v>
      </c>
      <c r="B7" s="178" t="s">
        <v>120</v>
      </c>
      <c r="C7" s="174"/>
      <c r="D7" s="174"/>
      <c r="E7" s="174"/>
      <c r="F7" s="174"/>
      <c r="G7" s="174"/>
      <c r="H7" s="174"/>
      <c r="I7" s="49"/>
      <c r="J7" s="141"/>
      <c r="K7" s="50"/>
      <c r="L7" s="45"/>
      <c r="M7" s="155"/>
      <c r="N7" s="179"/>
      <c r="O7" s="179"/>
      <c r="P7" s="179"/>
      <c r="Q7" s="179"/>
      <c r="R7" s="47"/>
    </row>
    <row r="8" spans="1:20" s="3" customFormat="1" ht="30" customHeight="1" x14ac:dyDescent="0.25">
      <c r="A8" s="78"/>
      <c r="B8" s="79"/>
      <c r="C8" s="79"/>
      <c r="D8" s="79"/>
      <c r="E8" s="49"/>
      <c r="F8" s="2"/>
      <c r="G8" s="2"/>
      <c r="H8" s="2"/>
      <c r="I8" s="2"/>
      <c r="J8" s="180" t="s">
        <v>80</v>
      </c>
      <c r="K8" s="180"/>
      <c r="L8" s="181" t="s">
        <v>102</v>
      </c>
      <c r="M8" s="181"/>
      <c r="N8" s="181"/>
      <c r="O8" s="181"/>
      <c r="P8" s="181"/>
      <c r="Q8" s="181"/>
      <c r="R8" s="47"/>
    </row>
    <row r="9" spans="1:20" s="3" customFormat="1" ht="30" customHeight="1" x14ac:dyDescent="0.25">
      <c r="A9" s="145" t="s">
        <v>69</v>
      </c>
      <c r="B9" s="182" t="s">
        <v>125</v>
      </c>
      <c r="C9" s="182"/>
      <c r="D9" s="182"/>
      <c r="E9" s="49"/>
      <c r="F9" s="183" t="s">
        <v>58</v>
      </c>
      <c r="G9" s="183"/>
      <c r="H9" s="183"/>
      <c r="I9" s="2"/>
      <c r="J9" s="180"/>
      <c r="K9" s="180"/>
      <c r="L9" s="181"/>
      <c r="M9" s="181"/>
      <c r="N9" s="181"/>
      <c r="O9" s="181"/>
      <c r="P9" s="181"/>
      <c r="Q9" s="181"/>
      <c r="R9" s="47"/>
    </row>
    <row r="10" spans="1:20" s="3" customFormat="1" ht="30" customHeight="1" x14ac:dyDescent="0.25">
      <c r="A10" s="87" t="s">
        <v>67</v>
      </c>
      <c r="B10" s="184">
        <v>103.8509</v>
      </c>
      <c r="C10" s="184"/>
      <c r="D10" s="184"/>
      <c r="E10" s="49"/>
      <c r="F10" s="185">
        <v>1.0378000000000001</v>
      </c>
      <c r="G10" s="185"/>
      <c r="H10" s="185"/>
      <c r="I10" s="2"/>
      <c r="J10" s="180"/>
      <c r="K10" s="180"/>
      <c r="L10" s="181"/>
      <c r="M10" s="181"/>
      <c r="N10" s="181"/>
      <c r="O10" s="181"/>
      <c r="P10" s="181"/>
      <c r="Q10" s="181"/>
      <c r="R10" s="47"/>
    </row>
    <row r="11" spans="1:20" s="3" customFormat="1" ht="30" customHeight="1" thickBot="1" x14ac:dyDescent="0.3">
      <c r="A11" s="51"/>
      <c r="B11" s="52"/>
      <c r="C11" s="53"/>
      <c r="D11" s="53"/>
      <c r="E11" s="54"/>
      <c r="F11" s="55"/>
      <c r="G11" s="56"/>
      <c r="H11" s="56"/>
      <c r="I11" s="54"/>
      <c r="J11" s="53"/>
      <c r="K11" s="57"/>
      <c r="L11" s="58"/>
      <c r="M11" s="155"/>
      <c r="N11" s="179"/>
      <c r="O11" s="179"/>
      <c r="P11" s="179"/>
      <c r="Q11" s="179"/>
      <c r="R11" s="60"/>
    </row>
    <row r="12" spans="1:20" ht="30" customHeight="1" x14ac:dyDescent="0.25">
      <c r="A12" s="186" t="s">
        <v>6</v>
      </c>
      <c r="B12" s="188" t="s">
        <v>7</v>
      </c>
      <c r="C12" s="136" t="s">
        <v>8</v>
      </c>
      <c r="D12" s="190" t="s">
        <v>9</v>
      </c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1" t="s">
        <v>65</v>
      </c>
      <c r="Q12" s="191"/>
      <c r="R12" s="150" t="s">
        <v>64</v>
      </c>
    </row>
    <row r="13" spans="1:20" s="3" customFormat="1" ht="30" customHeight="1" thickBot="1" x14ac:dyDescent="0.3">
      <c r="A13" s="187"/>
      <c r="B13" s="189"/>
      <c r="C13" s="42">
        <v>32.56</v>
      </c>
      <c r="D13" s="61" t="s">
        <v>10</v>
      </c>
      <c r="E13" s="140">
        <v>100</v>
      </c>
      <c r="F13" s="144" t="s">
        <v>11</v>
      </c>
      <c r="G13" s="140">
        <v>5</v>
      </c>
      <c r="H13" s="61" t="s">
        <v>63</v>
      </c>
      <c r="I13" s="140">
        <v>50</v>
      </c>
      <c r="J13" s="144" t="s">
        <v>25</v>
      </c>
      <c r="K13" s="140">
        <v>5</v>
      </c>
      <c r="L13" s="61" t="s">
        <v>12</v>
      </c>
      <c r="M13" s="140">
        <v>10</v>
      </c>
      <c r="N13" s="192" t="s">
        <v>13</v>
      </c>
      <c r="O13" s="192"/>
      <c r="P13" s="193">
        <v>100</v>
      </c>
      <c r="Q13" s="193"/>
      <c r="R13" s="43">
        <f>ROUND(C13/E13*G13/I13*K13/M13*P13/100*1000,3)</f>
        <v>16.28</v>
      </c>
    </row>
    <row r="14" spans="1:20" s="3" customFormat="1" ht="30" customHeight="1" thickBot="1" x14ac:dyDescent="0.3">
      <c r="A14" s="62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7"/>
    </row>
    <row r="15" spans="1:20" s="3" customFormat="1" ht="30" customHeight="1" x14ac:dyDescent="0.25">
      <c r="A15" s="194" t="s">
        <v>57</v>
      </c>
      <c r="B15" s="137" t="s">
        <v>14</v>
      </c>
      <c r="C15" s="137" t="s">
        <v>26</v>
      </c>
      <c r="D15" s="137" t="s">
        <v>27</v>
      </c>
      <c r="E15" s="137" t="s">
        <v>28</v>
      </c>
      <c r="F15" s="137" t="s">
        <v>29</v>
      </c>
      <c r="G15" s="137" t="s">
        <v>30</v>
      </c>
      <c r="H15" s="137" t="s">
        <v>31</v>
      </c>
      <c r="I15" s="150" t="s">
        <v>16</v>
      </c>
      <c r="J15" s="22"/>
      <c r="K15" s="188" t="s">
        <v>88</v>
      </c>
      <c r="L15" s="196"/>
      <c r="M15" s="31"/>
      <c r="N15" s="188" t="s">
        <v>89</v>
      </c>
      <c r="O15" s="196"/>
      <c r="P15" s="33"/>
      <c r="Q15" s="188" t="s">
        <v>90</v>
      </c>
      <c r="R15" s="196"/>
    </row>
    <row r="16" spans="1:20" s="3" customFormat="1" ht="30" customHeight="1" thickBot="1" x14ac:dyDescent="0.3">
      <c r="A16" s="195"/>
      <c r="B16" s="59" t="s">
        <v>17</v>
      </c>
      <c r="C16" s="97">
        <v>1379924</v>
      </c>
      <c r="D16" s="97">
        <v>1369824</v>
      </c>
      <c r="E16" s="97">
        <v>1374632</v>
      </c>
      <c r="F16" s="97">
        <v>1377683</v>
      </c>
      <c r="G16" s="97">
        <v>1369166</v>
      </c>
      <c r="H16" s="148">
        <f>IFERROR((AVERAGE(C16:G16)), "")</f>
        <v>1374245.8</v>
      </c>
      <c r="I16" s="139">
        <f>IFERROR((TRUNC(STDEV(C16:G16)/H16*100,5)), "")</f>
        <v>0.34432000000000001</v>
      </c>
      <c r="J16" s="22"/>
      <c r="K16" s="197" t="s">
        <v>127</v>
      </c>
      <c r="L16" s="198"/>
      <c r="M16" s="138"/>
      <c r="N16" s="199" t="s">
        <v>121</v>
      </c>
      <c r="O16" s="200"/>
      <c r="P16" s="33"/>
      <c r="Q16" s="201" t="s">
        <v>118</v>
      </c>
      <c r="R16" s="202"/>
    </row>
    <row r="17" spans="1:18" s="3" customFormat="1" ht="30" customHeight="1" thickBot="1" x14ac:dyDescent="0.3">
      <c r="A17" s="19"/>
      <c r="B17" s="16"/>
      <c r="C17" s="16"/>
      <c r="D17" s="16"/>
      <c r="E17" s="16"/>
      <c r="F17" s="20"/>
      <c r="G17" s="16"/>
      <c r="H17" s="16"/>
      <c r="I17" s="21"/>
      <c r="J17" s="16"/>
      <c r="K17" s="20"/>
      <c r="L17" s="20"/>
      <c r="M17" s="26"/>
      <c r="N17" s="203" t="s">
        <v>109</v>
      </c>
      <c r="O17" s="203" t="s">
        <v>110</v>
      </c>
      <c r="P17" s="203"/>
      <c r="Q17" s="16"/>
      <c r="R17" s="17"/>
    </row>
    <row r="18" spans="1:18" s="3" customFormat="1" ht="30" customHeight="1" x14ac:dyDescent="0.25">
      <c r="A18" s="194" t="s">
        <v>56</v>
      </c>
      <c r="B18" s="77" t="s">
        <v>32</v>
      </c>
      <c r="C18" s="77" t="s">
        <v>33</v>
      </c>
      <c r="D18" s="77" t="s">
        <v>34</v>
      </c>
      <c r="E18" s="77" t="s">
        <v>35</v>
      </c>
      <c r="F18" s="77" t="s">
        <v>36</v>
      </c>
      <c r="G18" s="77" t="s">
        <v>37</v>
      </c>
      <c r="H18" s="77" t="s">
        <v>31</v>
      </c>
      <c r="I18" s="71" t="s">
        <v>16</v>
      </c>
      <c r="J18" s="22"/>
      <c r="K18" s="128" t="s">
        <v>106</v>
      </c>
      <c r="L18" s="128" t="s">
        <v>10</v>
      </c>
      <c r="M18" s="20"/>
      <c r="N18" s="203"/>
      <c r="O18" s="135" t="s">
        <v>111</v>
      </c>
      <c r="P18" s="135" t="s">
        <v>112</v>
      </c>
      <c r="Q18" s="16"/>
      <c r="R18" s="17"/>
    </row>
    <row r="19" spans="1:18" s="3" customFormat="1" ht="30" customHeight="1" thickBot="1" x14ac:dyDescent="0.3">
      <c r="A19" s="204"/>
      <c r="B19" s="98">
        <v>1363801</v>
      </c>
      <c r="C19" s="98">
        <v>1367530</v>
      </c>
      <c r="D19" s="98">
        <v>1376731</v>
      </c>
      <c r="E19" s="98">
        <v>1357340</v>
      </c>
      <c r="F19" s="98">
        <v>1364984</v>
      </c>
      <c r="G19" s="98">
        <v>1351791</v>
      </c>
      <c r="H19" s="206">
        <f>IFERROR((TRUNC(AVERAGE(C16:G16,B19:G19,B21:G21,B23:G23,B25:G25),1)), "")</f>
        <v>1364392.1</v>
      </c>
      <c r="I19" s="208">
        <f>IFERROR((TRUNC(STDEV(C16:G16,B19:G19,B21:G21,B23:G23,B25:G25)/H19*100,5)), "")</f>
        <v>0.82486000000000004</v>
      </c>
      <c r="J19" s="22"/>
      <c r="K19" s="124" t="s">
        <v>107</v>
      </c>
      <c r="L19" s="129">
        <f>C13</f>
        <v>32.56</v>
      </c>
      <c r="M19" s="20"/>
      <c r="N19" s="124">
        <v>1</v>
      </c>
      <c r="O19" s="126">
        <f>C16</f>
        <v>1379924</v>
      </c>
      <c r="P19" s="97">
        <v>1373589</v>
      </c>
      <c r="Q19" s="16"/>
      <c r="R19" s="17"/>
    </row>
    <row r="20" spans="1:18" s="3" customFormat="1" ht="30" customHeight="1" thickBot="1" x14ac:dyDescent="0.3">
      <c r="A20" s="204"/>
      <c r="B20" s="135" t="s">
        <v>38</v>
      </c>
      <c r="C20" s="135" t="s">
        <v>39</v>
      </c>
      <c r="D20" s="135" t="s">
        <v>40</v>
      </c>
      <c r="E20" s="135" t="s">
        <v>41</v>
      </c>
      <c r="F20" s="135" t="s">
        <v>42</v>
      </c>
      <c r="G20" s="135" t="s">
        <v>43</v>
      </c>
      <c r="H20" s="206"/>
      <c r="I20" s="208"/>
      <c r="J20" s="22"/>
      <c r="K20" s="124" t="s">
        <v>108</v>
      </c>
      <c r="L20" s="149">
        <v>32.590000000000003</v>
      </c>
      <c r="M20" s="20"/>
      <c r="N20" s="124">
        <v>2</v>
      </c>
      <c r="O20" s="127">
        <f>D16</f>
        <v>1369824</v>
      </c>
      <c r="P20" s="97">
        <v>1366597</v>
      </c>
      <c r="Q20" s="16"/>
      <c r="R20" s="17"/>
    </row>
    <row r="21" spans="1:18" s="3" customFormat="1" ht="30" customHeight="1" x14ac:dyDescent="0.25">
      <c r="A21" s="204"/>
      <c r="B21" s="98">
        <v>1352941</v>
      </c>
      <c r="C21" s="98">
        <v>1348849</v>
      </c>
      <c r="D21" s="98">
        <v>1346294</v>
      </c>
      <c r="E21" s="98"/>
      <c r="F21" s="98"/>
      <c r="G21" s="98"/>
      <c r="H21" s="206"/>
      <c r="I21" s="208"/>
      <c r="J21" s="22"/>
      <c r="K21" s="20"/>
      <c r="L21" s="20"/>
      <c r="M21" s="20"/>
      <c r="N21" s="124">
        <v>3</v>
      </c>
      <c r="O21" s="127">
        <f>E16</f>
        <v>1374632</v>
      </c>
      <c r="P21" s="125"/>
      <c r="Q21" s="16"/>
      <c r="R21" s="17"/>
    </row>
    <row r="22" spans="1:18" s="3" customFormat="1" ht="30" customHeight="1" x14ac:dyDescent="0.25">
      <c r="A22" s="204"/>
      <c r="B22" s="135" t="s">
        <v>44</v>
      </c>
      <c r="C22" s="135" t="s">
        <v>45</v>
      </c>
      <c r="D22" s="135" t="s">
        <v>46</v>
      </c>
      <c r="E22" s="135" t="s">
        <v>47</v>
      </c>
      <c r="F22" s="135" t="s">
        <v>48</v>
      </c>
      <c r="G22" s="135" t="s">
        <v>49</v>
      </c>
      <c r="H22" s="206"/>
      <c r="I22" s="208"/>
      <c r="J22" s="22"/>
      <c r="K22" s="20"/>
      <c r="L22" s="20"/>
      <c r="M22" s="20"/>
      <c r="N22" s="124">
        <v>4</v>
      </c>
      <c r="O22" s="127">
        <f>F16</f>
        <v>1377683</v>
      </c>
      <c r="P22" s="125"/>
      <c r="Q22" s="16"/>
      <c r="R22" s="17"/>
    </row>
    <row r="23" spans="1:18" s="3" customFormat="1" ht="30" customHeight="1" thickBot="1" x14ac:dyDescent="0.3">
      <c r="A23" s="204"/>
      <c r="B23" s="97"/>
      <c r="C23" s="97"/>
      <c r="D23" s="97"/>
      <c r="E23" s="97"/>
      <c r="F23" s="97"/>
      <c r="G23" s="98"/>
      <c r="H23" s="206"/>
      <c r="I23" s="208"/>
      <c r="J23" s="22"/>
      <c r="K23" s="20"/>
      <c r="L23" s="20"/>
      <c r="M23" s="20"/>
      <c r="N23" s="124">
        <v>5</v>
      </c>
      <c r="O23" s="127">
        <f>G16</f>
        <v>1369166</v>
      </c>
      <c r="P23" s="125"/>
      <c r="Q23" s="16"/>
      <c r="R23" s="17"/>
    </row>
    <row r="24" spans="1:18" s="3" customFormat="1" ht="30" customHeight="1" x14ac:dyDescent="0.25">
      <c r="A24" s="204"/>
      <c r="B24" s="135" t="s">
        <v>50</v>
      </c>
      <c r="C24" s="135" t="s">
        <v>51</v>
      </c>
      <c r="D24" s="135" t="s">
        <v>52</v>
      </c>
      <c r="E24" s="135" t="s">
        <v>53</v>
      </c>
      <c r="F24" s="135" t="s">
        <v>54</v>
      </c>
      <c r="G24" s="135" t="s">
        <v>55</v>
      </c>
      <c r="H24" s="206"/>
      <c r="I24" s="208"/>
      <c r="J24" s="22"/>
      <c r="K24" s="20"/>
      <c r="L24" s="20"/>
      <c r="M24" s="20"/>
      <c r="N24" s="124" t="s">
        <v>31</v>
      </c>
      <c r="O24" s="147">
        <f>IFERROR(AVERAGE(O19:O21),"")</f>
        <v>1374793.3333333333</v>
      </c>
      <c r="P24" s="147">
        <f>AVERAGE(P19:P20)</f>
        <v>1370093</v>
      </c>
      <c r="Q24" s="16"/>
      <c r="R24" s="17"/>
    </row>
    <row r="25" spans="1:18" s="3" customFormat="1" ht="30" customHeight="1" thickBot="1" x14ac:dyDescent="0.3">
      <c r="A25" s="205"/>
      <c r="B25" s="97"/>
      <c r="C25" s="97"/>
      <c r="D25" s="97"/>
      <c r="E25" s="97"/>
      <c r="F25" s="97"/>
      <c r="G25" s="97"/>
      <c r="H25" s="207"/>
      <c r="I25" s="209"/>
      <c r="J25" s="22"/>
      <c r="K25" s="20"/>
      <c r="L25" s="20"/>
      <c r="M25" s="20"/>
      <c r="N25" s="210" t="s">
        <v>113</v>
      </c>
      <c r="O25" s="210"/>
      <c r="P25" s="212">
        <f>O24/P24*L20/L19</f>
        <v>1.0043552042142649</v>
      </c>
      <c r="Q25" s="16"/>
      <c r="R25" s="17"/>
    </row>
    <row r="26" spans="1:18" s="3" customFormat="1" ht="30" customHeight="1" thickBot="1" x14ac:dyDescent="0.3">
      <c r="A26" s="23"/>
      <c r="B26" s="21"/>
      <c r="C26" s="21"/>
      <c r="D26" s="21"/>
      <c r="E26" s="21"/>
      <c r="F26" s="21"/>
      <c r="G26" s="21"/>
      <c r="H26" s="24"/>
      <c r="I26" s="25"/>
      <c r="J26" s="111"/>
      <c r="K26" s="20"/>
      <c r="L26" s="20"/>
      <c r="M26" s="20"/>
      <c r="N26" s="211"/>
      <c r="O26" s="211"/>
      <c r="P26" s="213"/>
      <c r="Q26" s="16"/>
      <c r="R26" s="17"/>
    </row>
    <row r="27" spans="1:18" s="3" customFormat="1" ht="45" customHeight="1" x14ac:dyDescent="0.25">
      <c r="A27" s="214" t="s">
        <v>18</v>
      </c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6" t="s">
        <v>19</v>
      </c>
      <c r="P27" s="217"/>
      <c r="Q27" s="16"/>
      <c r="R27" s="17"/>
    </row>
    <row r="28" spans="1:18" s="3" customFormat="1" ht="48.75" customHeight="1" x14ac:dyDescent="0.25">
      <c r="A28" s="218" t="s">
        <v>95</v>
      </c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20" t="s">
        <v>105</v>
      </c>
      <c r="P28" s="221"/>
      <c r="Q28" s="16"/>
      <c r="R28" s="17"/>
    </row>
    <row r="29" spans="1:18" s="3" customFormat="1" ht="44.25" customHeight="1" x14ac:dyDescent="0.25">
      <c r="A29" s="218" t="s">
        <v>97</v>
      </c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22">
        <v>0.997</v>
      </c>
      <c r="P29" s="223"/>
      <c r="Q29" s="16"/>
      <c r="R29" s="17"/>
    </row>
    <row r="30" spans="1:18" s="3" customFormat="1" ht="45" customHeight="1" x14ac:dyDescent="0.25">
      <c r="A30" s="218" t="s">
        <v>96</v>
      </c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24">
        <v>15102</v>
      </c>
      <c r="P30" s="225"/>
      <c r="Q30" s="16"/>
      <c r="R30" s="17"/>
    </row>
    <row r="31" spans="1:18" s="3" customFormat="1" ht="48.75" customHeight="1" x14ac:dyDescent="0.25">
      <c r="A31" s="218" t="s">
        <v>98</v>
      </c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26">
        <f>I16</f>
        <v>0.34432000000000001</v>
      </c>
      <c r="P31" s="208"/>
      <c r="Q31" s="16"/>
      <c r="R31" s="17"/>
    </row>
    <row r="32" spans="1:18" s="3" customFormat="1" ht="48" customHeight="1" thickBot="1" x14ac:dyDescent="0.3">
      <c r="A32" s="227" t="s">
        <v>99</v>
      </c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9">
        <f>I19</f>
        <v>0.82486000000000004</v>
      </c>
      <c r="P32" s="209"/>
      <c r="Q32" s="16"/>
      <c r="R32" s="17"/>
    </row>
    <row r="33" spans="1:18" s="3" customFormat="1" ht="30" customHeight="1" thickBot="1" x14ac:dyDescent="0.3">
      <c r="A33" s="19"/>
      <c r="B33" s="16"/>
      <c r="C33" s="16"/>
      <c r="D33" s="16"/>
      <c r="E33" s="16"/>
      <c r="F33" s="20"/>
      <c r="G33" s="16"/>
      <c r="H33" s="16"/>
      <c r="I33" s="21"/>
      <c r="J33" s="16"/>
      <c r="K33" s="16"/>
      <c r="L33" s="16"/>
      <c r="M33" s="26"/>
      <c r="N33" s="26"/>
      <c r="O33" s="21"/>
      <c r="P33" s="16"/>
      <c r="Q33" s="16"/>
      <c r="R33" s="17"/>
    </row>
    <row r="34" spans="1:18" s="3" customFormat="1" ht="45" customHeight="1" x14ac:dyDescent="0.25">
      <c r="A34" s="194" t="s">
        <v>68</v>
      </c>
      <c r="B34" s="215" t="s">
        <v>100</v>
      </c>
      <c r="C34" s="215"/>
      <c r="D34" s="230" t="s">
        <v>59</v>
      </c>
      <c r="E34" s="231"/>
      <c r="F34" s="232" t="s">
        <v>60</v>
      </c>
      <c r="G34" s="233"/>
      <c r="H34" s="234" t="s">
        <v>61</v>
      </c>
      <c r="I34" s="215"/>
      <c r="J34" s="234" t="s">
        <v>62</v>
      </c>
      <c r="K34" s="242"/>
      <c r="L34" s="16"/>
      <c r="M34" s="194" t="s">
        <v>3</v>
      </c>
      <c r="N34" s="215"/>
      <c r="O34" s="234" t="s">
        <v>72</v>
      </c>
      <c r="P34" s="235"/>
      <c r="Q34" s="63"/>
      <c r="R34" s="112"/>
    </row>
    <row r="35" spans="1:18" s="3" customFormat="1" ht="106.5" customHeight="1" thickBot="1" x14ac:dyDescent="0.3">
      <c r="A35" s="205"/>
      <c r="B35" s="236">
        <v>1</v>
      </c>
      <c r="C35" s="236"/>
      <c r="D35" s="237">
        <v>600</v>
      </c>
      <c r="E35" s="237"/>
      <c r="F35" s="238">
        <v>610</v>
      </c>
      <c r="G35" s="238"/>
      <c r="H35" s="239">
        <v>3</v>
      </c>
      <c r="I35" s="239"/>
      <c r="J35" s="239">
        <v>6</v>
      </c>
      <c r="K35" s="240"/>
      <c r="L35" s="16"/>
      <c r="M35" s="241">
        <v>10</v>
      </c>
      <c r="N35" s="239"/>
      <c r="O35" s="239">
        <v>10</v>
      </c>
      <c r="P35" s="240"/>
      <c r="Q35" s="16"/>
      <c r="R35" s="112"/>
    </row>
    <row r="36" spans="1:18" s="3" customFormat="1" ht="20.25" hidden="1" customHeight="1" x14ac:dyDescent="0.25">
      <c r="A36" s="153"/>
      <c r="B36" s="73"/>
      <c r="C36" s="73"/>
      <c r="D36" s="73"/>
      <c r="E36" s="73"/>
      <c r="F36" s="50"/>
      <c r="G36" s="50"/>
      <c r="H36" s="73"/>
      <c r="I36" s="73"/>
      <c r="J36" s="73"/>
      <c r="K36" s="73"/>
      <c r="L36" s="74"/>
      <c r="M36" s="64"/>
      <c r="N36" s="64"/>
      <c r="O36" s="64"/>
      <c r="P36" s="64"/>
      <c r="Q36" s="16"/>
      <c r="R36" s="75"/>
    </row>
    <row r="37" spans="1:18" s="3" customFormat="1" ht="46.5" customHeight="1" thickBot="1" x14ac:dyDescent="0.3">
      <c r="A37" s="88"/>
      <c r="B37" s="89"/>
      <c r="C37" s="89"/>
      <c r="D37" s="90"/>
      <c r="E37" s="90"/>
      <c r="F37" s="91"/>
      <c r="G37" s="91"/>
      <c r="H37" s="90"/>
      <c r="I37" s="90"/>
      <c r="J37" s="90"/>
      <c r="K37" s="90"/>
      <c r="L37" s="92"/>
      <c r="M37" s="92"/>
      <c r="N37" s="93"/>
      <c r="O37" s="93"/>
      <c r="P37" s="246" t="s">
        <v>77</v>
      </c>
      <c r="Q37" s="246"/>
      <c r="R37" s="247"/>
    </row>
    <row r="38" spans="1:18" s="3" customFormat="1" ht="50.25" customHeight="1" x14ac:dyDescent="0.25">
      <c r="A38" s="80"/>
      <c r="B38" s="81"/>
      <c r="C38" s="81"/>
      <c r="D38" s="82"/>
      <c r="E38" s="82"/>
      <c r="F38" s="83"/>
      <c r="G38" s="83"/>
      <c r="H38" s="82"/>
      <c r="I38" s="82"/>
      <c r="J38" s="82"/>
      <c r="K38" s="82"/>
      <c r="L38" s="84"/>
      <c r="M38" s="84"/>
      <c r="N38" s="85"/>
      <c r="O38" s="85"/>
      <c r="P38" s="86"/>
      <c r="Q38" s="248" t="s">
        <v>78</v>
      </c>
      <c r="R38" s="249"/>
    </row>
    <row r="39" spans="1:18" s="3" customFormat="1" ht="58.5" customHeight="1" thickBot="1" x14ac:dyDescent="0.3">
      <c r="A39" s="250" t="s">
        <v>82</v>
      </c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7"/>
      <c r="O39" s="27"/>
      <c r="P39" s="28"/>
      <c r="Q39" s="154"/>
      <c r="R39" s="76"/>
    </row>
    <row r="40" spans="1:18" s="3" customFormat="1" ht="63.75" customHeight="1" x14ac:dyDescent="0.25">
      <c r="A40" s="143"/>
      <c r="B40" s="94">
        <v>1</v>
      </c>
      <c r="C40" s="94">
        <v>2</v>
      </c>
      <c r="D40" s="94">
        <v>3</v>
      </c>
      <c r="E40" s="94">
        <v>4</v>
      </c>
      <c r="F40" s="94">
        <v>5</v>
      </c>
      <c r="G40" s="94">
        <v>6</v>
      </c>
      <c r="H40" s="94">
        <v>7</v>
      </c>
      <c r="I40" s="94">
        <v>8</v>
      </c>
      <c r="J40" s="94">
        <v>9</v>
      </c>
      <c r="K40" s="94">
        <v>10</v>
      </c>
      <c r="L40" s="94">
        <v>11</v>
      </c>
      <c r="M40" s="94">
        <v>12</v>
      </c>
      <c r="N40" s="252"/>
      <c r="O40" s="253"/>
      <c r="P40" s="254"/>
      <c r="Q40" s="22"/>
      <c r="R40" s="29"/>
    </row>
    <row r="41" spans="1:18" s="3" customFormat="1" ht="76.5" customHeight="1" x14ac:dyDescent="0.25">
      <c r="A41" s="145" t="s">
        <v>85</v>
      </c>
      <c r="B41" s="160">
        <v>21.896319999999999</v>
      </c>
      <c r="C41" s="160">
        <v>21.81251</v>
      </c>
      <c r="D41" s="160">
        <v>21.702349999999999</v>
      </c>
      <c r="E41" s="160">
        <v>21.8124</v>
      </c>
      <c r="F41" s="160">
        <v>21.825510000000001</v>
      </c>
      <c r="G41" s="160">
        <v>21.932549999999999</v>
      </c>
      <c r="H41" s="160">
        <v>21.456499999999998</v>
      </c>
      <c r="I41" s="160">
        <v>21.935199999999998</v>
      </c>
      <c r="J41" s="160">
        <v>21.6861</v>
      </c>
      <c r="K41" s="160">
        <v>21.65232</v>
      </c>
      <c r="L41" s="160">
        <v>21.815200000000001</v>
      </c>
      <c r="M41" s="160">
        <v>21.496500000000001</v>
      </c>
      <c r="N41" s="255"/>
      <c r="O41" s="256"/>
      <c r="P41" s="257"/>
      <c r="Q41" s="22"/>
      <c r="R41" s="29"/>
    </row>
    <row r="42" spans="1:18" s="3" customFormat="1" ht="64.5" customHeight="1" x14ac:dyDescent="0.25">
      <c r="A42" s="145" t="s">
        <v>86</v>
      </c>
      <c r="B42" s="160">
        <v>11.065799999999999</v>
      </c>
      <c r="C42" s="160">
        <v>11.086320000000001</v>
      </c>
      <c r="D42" s="160">
        <v>11.06321</v>
      </c>
      <c r="E42" s="160">
        <v>11.01215</v>
      </c>
      <c r="F42" s="160">
        <v>11.06542</v>
      </c>
      <c r="G42" s="160">
        <v>11.01315</v>
      </c>
      <c r="H42" s="160">
        <v>11.0564</v>
      </c>
      <c r="I42" s="160">
        <v>11.0785</v>
      </c>
      <c r="J42" s="160">
        <v>11.07361</v>
      </c>
      <c r="K42" s="160">
        <v>11.012510000000001</v>
      </c>
      <c r="L42" s="160">
        <v>11.0534</v>
      </c>
      <c r="M42" s="160">
        <v>11.012510000000001</v>
      </c>
      <c r="N42" s="142" t="s">
        <v>31</v>
      </c>
      <c r="O42" s="142" t="s">
        <v>83</v>
      </c>
      <c r="P42" s="117" t="s">
        <v>84</v>
      </c>
      <c r="Q42" s="22"/>
      <c r="R42" s="29"/>
    </row>
    <row r="43" spans="1:18" s="3" customFormat="1" ht="79.5" customHeight="1" thickBot="1" x14ac:dyDescent="0.3">
      <c r="A43" s="146" t="s">
        <v>87</v>
      </c>
      <c r="B43" s="118">
        <f>B41-B42</f>
        <v>10.83052</v>
      </c>
      <c r="C43" s="118">
        <f t="shared" ref="C43:G43" si="0">C41-C42</f>
        <v>10.726189999999999</v>
      </c>
      <c r="D43" s="118">
        <f t="shared" si="0"/>
        <v>10.639139999999999</v>
      </c>
      <c r="E43" s="118">
        <f t="shared" si="0"/>
        <v>10.80025</v>
      </c>
      <c r="F43" s="118">
        <f t="shared" si="0"/>
        <v>10.760090000000002</v>
      </c>
      <c r="G43" s="118">
        <f t="shared" si="0"/>
        <v>10.9194</v>
      </c>
      <c r="H43" s="118">
        <f>H41-H42</f>
        <v>10.400099999999998</v>
      </c>
      <c r="I43" s="118">
        <f t="shared" ref="I43:M43" si="1">I41-I42</f>
        <v>10.856699999999998</v>
      </c>
      <c r="J43" s="118">
        <f t="shared" si="1"/>
        <v>10.612489999999999</v>
      </c>
      <c r="K43" s="118">
        <f t="shared" si="1"/>
        <v>10.639809999999999</v>
      </c>
      <c r="L43" s="118">
        <f t="shared" si="1"/>
        <v>10.761800000000001</v>
      </c>
      <c r="M43" s="118">
        <f t="shared" si="1"/>
        <v>10.48399</v>
      </c>
      <c r="N43" s="130">
        <f>AVERAGE(B43:G43)</f>
        <v>10.779265000000001</v>
      </c>
      <c r="O43" s="95">
        <f>MIN(B43:G43)</f>
        <v>10.639139999999999</v>
      </c>
      <c r="P43" s="131">
        <f>MAX(B43:G43)</f>
        <v>10.9194</v>
      </c>
      <c r="Q43" s="22"/>
      <c r="R43" s="29"/>
    </row>
    <row r="44" spans="1:18" ht="60" customHeight="1" thickBot="1" x14ac:dyDescent="0.3">
      <c r="A44" s="30"/>
      <c r="B44" s="31"/>
      <c r="C44" s="31"/>
      <c r="D44" s="31"/>
      <c r="E44" s="31"/>
      <c r="F44" s="32"/>
      <c r="G44" s="32"/>
      <c r="H44" s="33"/>
      <c r="I44" s="34"/>
      <c r="J44" s="31"/>
      <c r="K44" s="31"/>
      <c r="L44" s="31"/>
      <c r="M44" s="33"/>
      <c r="N44" s="33"/>
      <c r="O44" s="34"/>
      <c r="P44" s="31"/>
      <c r="Q44" s="31"/>
      <c r="R44" s="35"/>
    </row>
    <row r="45" spans="1:18" ht="30" customHeight="1" x14ac:dyDescent="0.25">
      <c r="A45" s="258" t="s">
        <v>81</v>
      </c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60"/>
      <c r="N45" s="4"/>
      <c r="O45" s="4"/>
      <c r="P45" s="4"/>
      <c r="Q45" s="31"/>
      <c r="R45" s="35"/>
    </row>
    <row r="46" spans="1:18" ht="73.5" customHeight="1" x14ac:dyDescent="0.25">
      <c r="A46" s="119" t="s">
        <v>20</v>
      </c>
      <c r="B46" s="142">
        <f t="shared" ref="B46:M46" si="2">B40</f>
        <v>1</v>
      </c>
      <c r="C46" s="142">
        <f t="shared" si="2"/>
        <v>2</v>
      </c>
      <c r="D46" s="142">
        <f t="shared" si="2"/>
        <v>3</v>
      </c>
      <c r="E46" s="142">
        <f t="shared" si="2"/>
        <v>4</v>
      </c>
      <c r="F46" s="142">
        <f t="shared" si="2"/>
        <v>5</v>
      </c>
      <c r="G46" s="142">
        <f t="shared" si="2"/>
        <v>6</v>
      </c>
      <c r="H46" s="142">
        <f t="shared" si="2"/>
        <v>7</v>
      </c>
      <c r="I46" s="142">
        <f>I40</f>
        <v>8</v>
      </c>
      <c r="J46" s="142">
        <f t="shared" si="2"/>
        <v>9</v>
      </c>
      <c r="K46" s="142">
        <f t="shared" si="2"/>
        <v>10</v>
      </c>
      <c r="L46" s="142">
        <f t="shared" si="2"/>
        <v>11</v>
      </c>
      <c r="M46" s="117">
        <f t="shared" si="2"/>
        <v>12</v>
      </c>
      <c r="N46" s="4"/>
      <c r="O46" s="4"/>
      <c r="P46" s="4"/>
      <c r="Q46" s="31"/>
      <c r="R46" s="35"/>
    </row>
    <row r="47" spans="1:18" ht="30" customHeight="1" x14ac:dyDescent="0.25">
      <c r="A47" s="44">
        <v>0.5</v>
      </c>
      <c r="B47" s="98">
        <v>1319314</v>
      </c>
      <c r="C47" s="98">
        <v>1312428</v>
      </c>
      <c r="D47" s="98">
        <v>1221195</v>
      </c>
      <c r="E47" s="98">
        <v>1291423</v>
      </c>
      <c r="F47" s="98">
        <v>1290993</v>
      </c>
      <c r="G47" s="98">
        <v>1309706</v>
      </c>
      <c r="H47" s="98">
        <v>1231826</v>
      </c>
      <c r="I47" s="98">
        <v>1223044</v>
      </c>
      <c r="J47" s="98">
        <v>1209183</v>
      </c>
      <c r="K47" s="98">
        <v>1239278</v>
      </c>
      <c r="L47" s="98">
        <v>1223870</v>
      </c>
      <c r="M47" s="98">
        <v>1179289</v>
      </c>
      <c r="N47" s="33"/>
      <c r="O47" s="33"/>
      <c r="P47" s="31"/>
      <c r="Q47" s="31"/>
      <c r="R47" s="35"/>
    </row>
    <row r="48" spans="1:18" ht="30" customHeight="1" x14ac:dyDescent="0.25">
      <c r="A48" s="44">
        <v>1.5</v>
      </c>
      <c r="B48" s="98">
        <v>1235477</v>
      </c>
      <c r="C48" s="98">
        <v>1240709</v>
      </c>
      <c r="D48" s="98">
        <v>1190452</v>
      </c>
      <c r="E48" s="98">
        <v>1252537</v>
      </c>
      <c r="F48" s="98">
        <v>1246249</v>
      </c>
      <c r="G48" s="98">
        <v>1234782</v>
      </c>
      <c r="H48" s="98">
        <v>1161956</v>
      </c>
      <c r="I48" s="98">
        <v>1196854</v>
      </c>
      <c r="J48" s="98">
        <v>1179608</v>
      </c>
      <c r="K48" s="98">
        <v>1150829</v>
      </c>
      <c r="L48" s="98">
        <v>1167839</v>
      </c>
      <c r="M48" s="98">
        <v>1143943</v>
      </c>
      <c r="N48" s="261"/>
      <c r="O48" s="261"/>
      <c r="P48" s="261"/>
      <c r="Q48" s="31"/>
      <c r="R48" s="35"/>
    </row>
    <row r="49" spans="1:19" ht="30" customHeight="1" x14ac:dyDescent="0.25">
      <c r="A49" s="44">
        <v>3</v>
      </c>
      <c r="B49" s="98">
        <v>1130569</v>
      </c>
      <c r="C49" s="98">
        <v>1076527</v>
      </c>
      <c r="D49" s="98">
        <v>1114862</v>
      </c>
      <c r="E49" s="98">
        <v>1130453</v>
      </c>
      <c r="F49" s="98">
        <v>1138952</v>
      </c>
      <c r="G49" s="98">
        <v>1125863</v>
      </c>
      <c r="H49" s="98">
        <v>1029825</v>
      </c>
      <c r="I49" s="98">
        <v>1057710</v>
      </c>
      <c r="J49" s="98">
        <v>1059193</v>
      </c>
      <c r="K49" s="98">
        <v>1064676</v>
      </c>
      <c r="L49" s="98">
        <v>1014191</v>
      </c>
      <c r="M49" s="98">
        <v>1041412</v>
      </c>
      <c r="N49" s="262"/>
      <c r="O49" s="262"/>
      <c r="P49" s="262"/>
      <c r="Q49" s="31"/>
      <c r="R49" s="35"/>
    </row>
    <row r="50" spans="1:19" ht="30" customHeight="1" x14ac:dyDescent="0.25">
      <c r="A50" s="44">
        <v>7</v>
      </c>
      <c r="B50" s="98">
        <v>831789</v>
      </c>
      <c r="C50" s="98">
        <v>887655</v>
      </c>
      <c r="D50" s="98">
        <v>864575</v>
      </c>
      <c r="E50" s="98">
        <v>897029</v>
      </c>
      <c r="F50" s="98">
        <v>931841</v>
      </c>
      <c r="G50" s="98">
        <v>891422</v>
      </c>
      <c r="H50" s="98">
        <v>778158</v>
      </c>
      <c r="I50" s="98">
        <v>807056</v>
      </c>
      <c r="J50" s="98">
        <v>849906</v>
      </c>
      <c r="K50" s="98">
        <v>839158</v>
      </c>
      <c r="L50" s="98">
        <v>833716</v>
      </c>
      <c r="M50" s="98">
        <v>804622</v>
      </c>
      <c r="N50" s="33"/>
      <c r="O50" s="33"/>
      <c r="P50" s="31"/>
      <c r="Q50" s="31"/>
      <c r="R50" s="35"/>
    </row>
    <row r="51" spans="1:19" ht="30" customHeight="1" x14ac:dyDescent="0.25">
      <c r="A51" s="44">
        <v>10</v>
      </c>
      <c r="B51" s="98">
        <v>770942</v>
      </c>
      <c r="C51" s="98">
        <v>776396</v>
      </c>
      <c r="D51" s="98">
        <v>836430</v>
      </c>
      <c r="E51" s="98">
        <v>732908</v>
      </c>
      <c r="F51" s="98">
        <v>785718</v>
      </c>
      <c r="G51" s="98">
        <v>792014</v>
      </c>
      <c r="H51" s="98">
        <v>671591</v>
      </c>
      <c r="I51" s="98">
        <v>686621</v>
      </c>
      <c r="J51" s="98">
        <v>728863</v>
      </c>
      <c r="K51" s="98">
        <v>742274</v>
      </c>
      <c r="L51" s="98">
        <v>729831</v>
      </c>
      <c r="M51" s="98">
        <v>750940</v>
      </c>
      <c r="N51" s="33"/>
      <c r="O51" s="261"/>
      <c r="P51" s="261"/>
      <c r="Q51" s="31"/>
      <c r="R51" s="35"/>
    </row>
    <row r="52" spans="1:19" ht="30" customHeight="1" x14ac:dyDescent="0.25">
      <c r="A52" s="41">
        <v>12</v>
      </c>
      <c r="B52" s="98">
        <v>700042</v>
      </c>
      <c r="C52" s="98">
        <v>699181</v>
      </c>
      <c r="D52" s="98">
        <v>719597</v>
      </c>
      <c r="E52" s="98">
        <v>726386</v>
      </c>
      <c r="F52" s="98">
        <v>675382</v>
      </c>
      <c r="G52" s="98">
        <v>734186</v>
      </c>
      <c r="H52" s="98">
        <v>649827</v>
      </c>
      <c r="I52" s="98">
        <v>650587</v>
      </c>
      <c r="J52" s="98">
        <v>642665</v>
      </c>
      <c r="K52" s="98">
        <v>665228</v>
      </c>
      <c r="L52" s="98">
        <v>629418</v>
      </c>
      <c r="M52" s="98">
        <v>685643</v>
      </c>
      <c r="N52" s="33"/>
      <c r="O52" s="263"/>
      <c r="P52" s="263"/>
      <c r="Q52" s="31"/>
      <c r="R52" s="35"/>
    </row>
    <row r="53" spans="1:19" ht="30" customHeight="1" x14ac:dyDescent="0.25">
      <c r="A53" s="41">
        <v>16</v>
      </c>
      <c r="B53" s="98">
        <v>513520</v>
      </c>
      <c r="C53" s="98">
        <v>551257</v>
      </c>
      <c r="D53" s="98">
        <v>488964</v>
      </c>
      <c r="E53" s="98">
        <v>520339</v>
      </c>
      <c r="F53" s="98">
        <v>521606</v>
      </c>
      <c r="G53" s="98">
        <v>575888</v>
      </c>
      <c r="H53" s="98">
        <v>485815</v>
      </c>
      <c r="I53" s="98">
        <v>486730</v>
      </c>
      <c r="J53" s="98">
        <v>480904</v>
      </c>
      <c r="K53" s="98">
        <v>535570</v>
      </c>
      <c r="L53" s="98">
        <v>520236</v>
      </c>
      <c r="M53" s="98">
        <v>463026</v>
      </c>
      <c r="N53" s="33"/>
      <c r="O53" s="33"/>
      <c r="P53" s="31"/>
      <c r="Q53" s="31"/>
      <c r="R53" s="35"/>
    </row>
    <row r="54" spans="1:19" s="4" customFormat="1" ht="30" customHeight="1" x14ac:dyDescent="0.25">
      <c r="A54" s="41">
        <v>20</v>
      </c>
      <c r="B54" s="98">
        <v>355597</v>
      </c>
      <c r="C54" s="98">
        <v>375317</v>
      </c>
      <c r="D54" s="98">
        <v>397616</v>
      </c>
      <c r="E54" s="98">
        <v>427891</v>
      </c>
      <c r="F54" s="98">
        <v>355949</v>
      </c>
      <c r="G54" s="98">
        <v>340316</v>
      </c>
      <c r="H54" s="98">
        <v>329140</v>
      </c>
      <c r="I54" s="98">
        <v>394245</v>
      </c>
      <c r="J54" s="98">
        <v>330551</v>
      </c>
      <c r="K54" s="98">
        <v>296570</v>
      </c>
      <c r="L54" s="98">
        <v>338468</v>
      </c>
      <c r="M54" s="98">
        <v>377146</v>
      </c>
      <c r="N54" s="33"/>
      <c r="O54" s="33"/>
      <c r="P54" s="18"/>
      <c r="Q54" s="31"/>
      <c r="R54" s="35"/>
    </row>
    <row r="55" spans="1:19" s="4" customFormat="1" ht="30" customHeight="1" x14ac:dyDescent="0.25">
      <c r="A55" s="41">
        <v>24</v>
      </c>
      <c r="B55" s="98">
        <v>167254</v>
      </c>
      <c r="C55" s="98">
        <v>189476</v>
      </c>
      <c r="D55" s="98">
        <v>178302</v>
      </c>
      <c r="E55" s="98">
        <v>209387</v>
      </c>
      <c r="F55" s="98">
        <v>186266</v>
      </c>
      <c r="G55" s="98">
        <v>210344</v>
      </c>
      <c r="H55" s="98">
        <v>154896</v>
      </c>
      <c r="I55" s="98">
        <v>178015</v>
      </c>
      <c r="J55" s="98">
        <v>182479</v>
      </c>
      <c r="K55" s="98">
        <v>192428</v>
      </c>
      <c r="L55" s="98">
        <v>183464</v>
      </c>
      <c r="M55" s="98">
        <v>158910</v>
      </c>
      <c r="N55" s="33"/>
      <c r="O55" s="33"/>
      <c r="P55" s="18"/>
      <c r="Q55" s="31"/>
      <c r="R55" s="35"/>
    </row>
    <row r="56" spans="1:19" s="4" customFormat="1" ht="30" customHeight="1" x14ac:dyDescent="0.25">
      <c r="A56" s="41">
        <v>36</v>
      </c>
      <c r="B56" s="98">
        <v>147219</v>
      </c>
      <c r="C56" s="98">
        <v>145465</v>
      </c>
      <c r="D56" s="98">
        <v>153564</v>
      </c>
      <c r="E56" s="98">
        <v>138539</v>
      </c>
      <c r="F56" s="98">
        <v>126749</v>
      </c>
      <c r="G56" s="98">
        <v>139167</v>
      </c>
      <c r="H56" s="98">
        <v>134385</v>
      </c>
      <c r="I56" s="98">
        <v>120770</v>
      </c>
      <c r="J56" s="98">
        <v>117972</v>
      </c>
      <c r="K56" s="98">
        <v>133208</v>
      </c>
      <c r="L56" s="98">
        <v>136458</v>
      </c>
      <c r="M56" s="98">
        <v>145160</v>
      </c>
      <c r="N56" s="33"/>
      <c r="O56" s="33"/>
      <c r="P56" s="18"/>
      <c r="Q56" s="31"/>
      <c r="R56" s="35"/>
    </row>
    <row r="57" spans="1:19" s="4" customFormat="1" ht="30" customHeight="1" x14ac:dyDescent="0.25">
      <c r="A57" s="41">
        <v>48</v>
      </c>
      <c r="B57" s="98">
        <v>38217</v>
      </c>
      <c r="C57" s="98">
        <v>40039</v>
      </c>
      <c r="D57" s="98">
        <v>36598</v>
      </c>
      <c r="E57" s="98">
        <v>24692</v>
      </c>
      <c r="F57" s="98">
        <v>43922</v>
      </c>
      <c r="G57" s="98">
        <v>43972</v>
      </c>
      <c r="H57" s="98">
        <v>33991</v>
      </c>
      <c r="I57" s="98">
        <v>27958</v>
      </c>
      <c r="J57" s="98">
        <v>38930</v>
      </c>
      <c r="K57" s="98">
        <v>39818</v>
      </c>
      <c r="L57" s="98">
        <v>39722</v>
      </c>
      <c r="M57" s="98">
        <v>29929</v>
      </c>
      <c r="N57" s="33"/>
      <c r="O57" s="33"/>
      <c r="P57" s="18"/>
      <c r="Q57" s="31"/>
      <c r="R57" s="35"/>
    </row>
    <row r="58" spans="1:19" s="4" customFormat="1" ht="30" customHeight="1" x14ac:dyDescent="0.25">
      <c r="A58" s="41">
        <v>60</v>
      </c>
      <c r="B58" s="98">
        <v>7402</v>
      </c>
      <c r="C58" s="98">
        <v>7380</v>
      </c>
      <c r="D58" s="98">
        <v>14374</v>
      </c>
      <c r="E58" s="98">
        <v>6909</v>
      </c>
      <c r="F58" s="98">
        <v>10162</v>
      </c>
      <c r="G58" s="98">
        <v>9300</v>
      </c>
      <c r="H58" s="98">
        <v>6814</v>
      </c>
      <c r="I58" s="98">
        <v>7564</v>
      </c>
      <c r="J58" s="98">
        <v>7599</v>
      </c>
      <c r="K58" s="98">
        <v>6937</v>
      </c>
      <c r="L58" s="98">
        <v>8295</v>
      </c>
      <c r="M58" s="98">
        <v>11110</v>
      </c>
      <c r="N58" s="33"/>
      <c r="O58" s="33"/>
      <c r="P58" s="31"/>
      <c r="Q58" s="31"/>
      <c r="R58" s="35"/>
    </row>
    <row r="59" spans="1:19" s="4" customFormat="1" ht="15" customHeight="1" thickBot="1" x14ac:dyDescent="0.3">
      <c r="A59" s="65"/>
      <c r="B59" s="66"/>
      <c r="C59" s="66"/>
      <c r="D59" s="66"/>
      <c r="E59" s="66"/>
      <c r="F59" s="66"/>
      <c r="G59" s="66"/>
      <c r="H59" s="67"/>
      <c r="I59" s="68"/>
      <c r="J59" s="68"/>
      <c r="K59" s="68"/>
      <c r="L59" s="68"/>
      <c r="M59" s="120"/>
      <c r="N59" s="33"/>
      <c r="O59" s="33"/>
      <c r="P59" s="31"/>
      <c r="Q59" s="31"/>
      <c r="R59" s="35"/>
    </row>
    <row r="60" spans="1:19" ht="30" customHeight="1" x14ac:dyDescent="0.25">
      <c r="A60" s="264" t="s">
        <v>21</v>
      </c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121"/>
      <c r="N60" s="121"/>
      <c r="O60" s="121"/>
      <c r="P60" s="122"/>
      <c r="Q60" s="121"/>
      <c r="R60" s="122"/>
    </row>
    <row r="61" spans="1:19" ht="81" customHeight="1" x14ac:dyDescent="0.25">
      <c r="A61" s="119" t="str">
        <f t="shared" ref="A61" si="3">A46</f>
        <v>Time Interval (Hours)</v>
      </c>
      <c r="B61" s="115">
        <f>B46</f>
        <v>1</v>
      </c>
      <c r="C61" s="115">
        <f t="shared" ref="C61:M61" si="4">C46</f>
        <v>2</v>
      </c>
      <c r="D61" s="115">
        <f t="shared" si="4"/>
        <v>3</v>
      </c>
      <c r="E61" s="115">
        <f t="shared" si="4"/>
        <v>4</v>
      </c>
      <c r="F61" s="115">
        <f t="shared" si="4"/>
        <v>5</v>
      </c>
      <c r="G61" s="115">
        <f t="shared" si="4"/>
        <v>6</v>
      </c>
      <c r="H61" s="115">
        <f>H46</f>
        <v>7</v>
      </c>
      <c r="I61" s="115">
        <f t="shared" si="4"/>
        <v>8</v>
      </c>
      <c r="J61" s="115">
        <f t="shared" si="4"/>
        <v>9</v>
      </c>
      <c r="K61" s="115">
        <f t="shared" si="4"/>
        <v>10</v>
      </c>
      <c r="L61" s="115">
        <f t="shared" si="4"/>
        <v>11</v>
      </c>
      <c r="M61" s="115">
        <f t="shared" si="4"/>
        <v>12</v>
      </c>
      <c r="N61" s="142" t="s">
        <v>31</v>
      </c>
      <c r="O61" s="142" t="s">
        <v>15</v>
      </c>
      <c r="P61" s="117" t="s">
        <v>22</v>
      </c>
      <c r="Q61" s="132" t="s">
        <v>23</v>
      </c>
      <c r="R61" s="123" t="s">
        <v>24</v>
      </c>
      <c r="S61" s="4"/>
    </row>
    <row r="62" spans="1:19" ht="30" customHeight="1" x14ac:dyDescent="0.25">
      <c r="A62" s="44">
        <v>0.5</v>
      </c>
      <c r="B62" s="101">
        <f t="shared" ref="B62:M62" si="5">IFERROR((B47/$H$16*$C$13/$E$13*$G$13/$I$13*$K$13/$M$13*$F$35/B43*$J$35/$H$35*$P$13/100/$B$4*$F$10*100), "")</f>
        <v>91.355005042741283</v>
      </c>
      <c r="C62" s="101">
        <f t="shared" si="5"/>
        <v>91.762129847980717</v>
      </c>
      <c r="D62" s="101">
        <f t="shared" si="5"/>
        <v>86.081926380211527</v>
      </c>
      <c r="E62" s="101">
        <f t="shared" si="5"/>
        <v>89.674340614001807</v>
      </c>
      <c r="F62" s="101">
        <f t="shared" si="5"/>
        <v>89.979063171827136</v>
      </c>
      <c r="G62" s="101">
        <f t="shared" si="5"/>
        <v>89.951523905639817</v>
      </c>
      <c r="H62" s="101">
        <f t="shared" si="5"/>
        <v>88.827069569827941</v>
      </c>
      <c r="I62" s="101">
        <f t="shared" si="5"/>
        <v>84.484634145515685</v>
      </c>
      <c r="J62" s="101">
        <f t="shared" si="5"/>
        <v>85.449243530441564</v>
      </c>
      <c r="K62" s="101">
        <f t="shared" si="5"/>
        <v>87.351094497188726</v>
      </c>
      <c r="L62" s="101">
        <f t="shared" si="5"/>
        <v>85.287199901720797</v>
      </c>
      <c r="M62" s="101">
        <f t="shared" si="5"/>
        <v>84.358166744163796</v>
      </c>
      <c r="N62" s="105">
        <f>IFERROR((AVERAGE(B62:M62)), "")</f>
        <v>87.880116445938384</v>
      </c>
      <c r="O62" s="101">
        <f>IFERROR((STDEV(B62:M62)), "")</f>
        <v>2.6974109884342616</v>
      </c>
      <c r="P62" s="134">
        <f>IFERROR((O62/N62*100), "")</f>
        <v>3.0694212724372529</v>
      </c>
      <c r="Q62" s="133">
        <f>IFERROR((MIN(B62:G62)), "")</f>
        <v>86.081926380211527</v>
      </c>
      <c r="R62" s="108">
        <f>IFERROR((MAX(B62:G62)), "")</f>
        <v>91.762129847980717</v>
      </c>
      <c r="S62" s="4"/>
    </row>
    <row r="63" spans="1:19" ht="30" customHeight="1" x14ac:dyDescent="0.25">
      <c r="A63" s="44">
        <v>1.5</v>
      </c>
      <c r="B63" s="101">
        <f>IFERROR(((B48/$H$16*$C$13/$E$13*$G$13/$I$13*$K$13/$M$13*$F$35/B43*$J$35/$H$35*$P$13/100/$B$4*$F$10*100)+(B62*$M$35/$F$35)), "")</f>
        <v>87.047391750556315</v>
      </c>
      <c r="C63" s="101">
        <f t="shared" ref="C63:M63" si="6">IFERROR(((C48/$H$16*$C$13/$E$13*$G$13/$I$13*$K$13/$M$13*$F$35/C43*$J$35/$H$35*$P$13/100/$B$4*$F$10*100)+(C62*$M$35/$F$35)), "")</f>
        <v>88.251989549980138</v>
      </c>
      <c r="D63" s="101">
        <f t="shared" si="6"/>
        <v>85.326034179495764</v>
      </c>
      <c r="E63" s="101">
        <f t="shared" si="6"/>
        <v>88.44423033677559</v>
      </c>
      <c r="F63" s="101">
        <f t="shared" si="6"/>
        <v>88.335582118618987</v>
      </c>
      <c r="G63" s="101">
        <f t="shared" si="6"/>
        <v>86.28030634024212</v>
      </c>
      <c r="H63" s="101">
        <f t="shared" si="6"/>
        <v>85.244919852739258</v>
      </c>
      <c r="I63" s="101">
        <f t="shared" si="6"/>
        <v>84.060492443649281</v>
      </c>
      <c r="J63" s="101">
        <f t="shared" si="6"/>
        <v>84.760076515147503</v>
      </c>
      <c r="K63" s="101">
        <f t="shared" si="6"/>
        <v>82.548710159367303</v>
      </c>
      <c r="L63" s="101">
        <f t="shared" si="6"/>
        <v>82.780747209855662</v>
      </c>
      <c r="M63" s="101">
        <f t="shared" si="6"/>
        <v>83.212679493648722</v>
      </c>
      <c r="N63" s="105">
        <f>IFERROR((AVERAGE(B63:M63)), "")</f>
        <v>85.524429995839725</v>
      </c>
      <c r="O63" s="101">
        <f>IFERROR((STDEV(B63:M63)), "")</f>
        <v>2.1601743057602452</v>
      </c>
      <c r="P63" s="134">
        <f t="shared" ref="P63:P73" si="7">IFERROR((O63/N63*100), "")</f>
        <v>2.5257979572214926</v>
      </c>
      <c r="Q63" s="133">
        <f t="shared" ref="Q63:Q73" si="8">IFERROR((MIN(B63:G63)), "")</f>
        <v>85.326034179495764</v>
      </c>
      <c r="R63" s="108">
        <f t="shared" ref="R63:R73" si="9">IFERROR((MAX(B63:G63)), "")</f>
        <v>88.44423033677559</v>
      </c>
      <c r="S63" s="4"/>
    </row>
    <row r="64" spans="1:19" ht="30" customHeight="1" x14ac:dyDescent="0.25">
      <c r="A64" s="44">
        <v>3</v>
      </c>
      <c r="B64" s="101">
        <f>IFERROR(((B49/$H$16*$C$13/$E$13*$G$13/$I$13*$K$13/$M$13*$F$35/B43*$J$35/$H$35*$P$13/100/$B$4*$F$10*100)+(B63*$M$35/$F$35)), "")</f>
        <v>79.712491678998717</v>
      </c>
      <c r="C64" s="101">
        <f t="shared" ref="C64:M64" si="10">IFERROR(((C49/$H$16*$C$13/$E$13*$G$13/$I$13*$K$13/$M$13*$F$35/C$43*$J$35/$H$35*$P$13/100/$B$4*$F$10*100)+(C63*$M$35/$F$35)), "")</f>
        <v>76.71519559307329</v>
      </c>
      <c r="D64" s="101">
        <f t="shared" si="10"/>
        <v>79.985310161507968</v>
      </c>
      <c r="E64" s="101">
        <f t="shared" si="10"/>
        <v>79.946747557799966</v>
      </c>
      <c r="F64" s="101">
        <f t="shared" si="10"/>
        <v>80.83030061996466</v>
      </c>
      <c r="G64" s="101">
        <f t="shared" si="10"/>
        <v>78.739489362975689</v>
      </c>
      <c r="H64" s="101">
        <f t="shared" si="10"/>
        <v>75.658219303369677</v>
      </c>
      <c r="I64" s="101">
        <f t="shared" si="10"/>
        <v>74.441841002697686</v>
      </c>
      <c r="J64" s="101">
        <f t="shared" si="10"/>
        <v>76.239421005182592</v>
      </c>
      <c r="K64" s="101">
        <f t="shared" si="10"/>
        <v>76.39744769696685</v>
      </c>
      <c r="L64" s="101">
        <f t="shared" si="10"/>
        <v>72.032468585271374</v>
      </c>
      <c r="M64" s="101">
        <f t="shared" si="10"/>
        <v>75.859543452545523</v>
      </c>
      <c r="N64" s="105">
        <f>IFERROR((AVERAGE(B64:M64)), "")</f>
        <v>77.213206335029497</v>
      </c>
      <c r="O64" s="101">
        <f>IFERROR((STDEV(B64:M64)), "")</f>
        <v>2.6534501973471132</v>
      </c>
      <c r="P64" s="134">
        <f t="shared" si="7"/>
        <v>3.4365237804446882</v>
      </c>
      <c r="Q64" s="133">
        <f t="shared" si="8"/>
        <v>76.71519559307329</v>
      </c>
      <c r="R64" s="108">
        <f t="shared" si="9"/>
        <v>80.83030061996466</v>
      </c>
      <c r="S64" s="4"/>
    </row>
    <row r="65" spans="1:21" ht="30" customHeight="1" x14ac:dyDescent="0.25">
      <c r="A65" s="44">
        <v>7</v>
      </c>
      <c r="B65" s="101">
        <f t="shared" ref="B65:M71" si="11">IFERROR(((B50/$H$16*$C$13/$E$13*$G$13/$I$13*$K$13/$M$13*$F$35/B$43*$J$35/$H$35*$P$13/100/$B$4*$F$10*100)+(B64*$M$35/$F$35)), "")</f>
        <v>58.903428524296011</v>
      </c>
      <c r="C65" s="101">
        <f t="shared" si="11"/>
        <v>63.320545700437904</v>
      </c>
      <c r="D65" s="101">
        <f t="shared" si="11"/>
        <v>62.255049053378002</v>
      </c>
      <c r="E65" s="101">
        <f t="shared" si="11"/>
        <v>63.598856605747486</v>
      </c>
      <c r="F65" s="101">
        <f t="shared" si="11"/>
        <v>66.272131693559672</v>
      </c>
      <c r="G65" s="101">
        <f t="shared" si="11"/>
        <v>62.514297597203665</v>
      </c>
      <c r="H65" s="101">
        <f t="shared" si="11"/>
        <v>57.353333149763849</v>
      </c>
      <c r="I65" s="101">
        <f t="shared" si="11"/>
        <v>56.969644988159942</v>
      </c>
      <c r="J65" s="101">
        <f t="shared" si="11"/>
        <v>61.310069541200718</v>
      </c>
      <c r="K65" s="101">
        <f t="shared" si="11"/>
        <v>60.400864703737042</v>
      </c>
      <c r="L65" s="101">
        <f t="shared" si="11"/>
        <v>59.27959869407141</v>
      </c>
      <c r="M65" s="101">
        <f t="shared" si="11"/>
        <v>58.80068375878421</v>
      </c>
      <c r="N65" s="105">
        <f>IFERROR((AVERAGE(B65:M65)), "")</f>
        <v>60.914875334194988</v>
      </c>
      <c r="O65" s="101">
        <f t="shared" ref="O65:O73" si="12">IFERROR((STDEV(B65:M65)), "")</f>
        <v>2.7945577440084146</v>
      </c>
      <c r="P65" s="134">
        <f t="shared" si="7"/>
        <v>4.5876441980333009</v>
      </c>
      <c r="Q65" s="133">
        <f t="shared" si="8"/>
        <v>58.903428524296011</v>
      </c>
      <c r="R65" s="108">
        <f t="shared" si="9"/>
        <v>66.272131693559672</v>
      </c>
      <c r="S65" s="4"/>
    </row>
    <row r="66" spans="1:21" ht="30" customHeight="1" x14ac:dyDescent="0.25">
      <c r="A66" s="44">
        <v>10</v>
      </c>
      <c r="B66" s="101">
        <f t="shared" si="11"/>
        <v>54.348987006553671</v>
      </c>
      <c r="C66" s="101">
        <f t="shared" si="11"/>
        <v>55.321972405907417</v>
      </c>
      <c r="D66" s="101">
        <f t="shared" si="11"/>
        <v>59.98045050125868</v>
      </c>
      <c r="E66" s="101">
        <f t="shared" si="11"/>
        <v>51.934559538658874</v>
      </c>
      <c r="F66" s="101">
        <f t="shared" si="11"/>
        <v>55.849056502778801</v>
      </c>
      <c r="G66" s="101">
        <f t="shared" si="11"/>
        <v>55.420899894859801</v>
      </c>
      <c r="H66" s="101">
        <f t="shared" si="11"/>
        <v>49.368698312381817</v>
      </c>
      <c r="I66" s="101">
        <f t="shared" si="11"/>
        <v>48.363885322252571</v>
      </c>
      <c r="J66" s="101">
        <f t="shared" si="11"/>
        <v>52.511589556073226</v>
      </c>
      <c r="K66" s="101">
        <f t="shared" si="11"/>
        <v>53.309711190292724</v>
      </c>
      <c r="L66" s="101">
        <f t="shared" si="11"/>
        <v>51.831154631278523</v>
      </c>
      <c r="M66" s="101">
        <f t="shared" si="11"/>
        <v>54.680991868215251</v>
      </c>
      <c r="N66" s="105">
        <f t="shared" ref="N66:N73" si="13">IFERROR((AVERAGE(B66:M66)), "")</f>
        <v>53.576829727542616</v>
      </c>
      <c r="O66" s="101">
        <f t="shared" si="12"/>
        <v>3.1081209378703365</v>
      </c>
      <c r="P66" s="134">
        <f t="shared" si="7"/>
        <v>5.8012408604171721</v>
      </c>
      <c r="Q66" s="133">
        <f t="shared" si="8"/>
        <v>51.934559538658874</v>
      </c>
      <c r="R66" s="108">
        <f t="shared" si="9"/>
        <v>59.98045050125868</v>
      </c>
      <c r="S66" s="4"/>
    </row>
    <row r="67" spans="1:21" ht="30" customHeight="1" x14ac:dyDescent="0.25">
      <c r="A67" s="41">
        <v>12</v>
      </c>
      <c r="B67" s="101">
        <f>IFERROR(((B52/$H$16*$C$13/$E$13*$G$13/$I$13*$K$13/$M$13*$F$35/B43*$J$35/$H$35*$P$13/100/$B$4*$F$10*100)+(B66*$M$35/$F$35)), "")</f>
        <v>49.36490151465869</v>
      </c>
      <c r="C67" s="101">
        <f t="shared" si="11"/>
        <v>49.792142300745361</v>
      </c>
      <c r="D67" s="101">
        <f t="shared" si="11"/>
        <v>51.707614274791837</v>
      </c>
      <c r="E67" s="101">
        <f t="shared" si="11"/>
        <v>51.290464340611464</v>
      </c>
      <c r="F67" s="101">
        <f t="shared" si="11"/>
        <v>47.988036343960374</v>
      </c>
      <c r="G67" s="101">
        <f t="shared" si="11"/>
        <v>51.332947209789872</v>
      </c>
      <c r="H67" s="101">
        <f t="shared" si="11"/>
        <v>47.668398910633009</v>
      </c>
      <c r="I67" s="101">
        <f t="shared" si="11"/>
        <v>45.7336741919639</v>
      </c>
      <c r="J67" s="101">
        <f t="shared" si="11"/>
        <v>46.276004638128903</v>
      </c>
      <c r="K67" s="101">
        <f t="shared" si="11"/>
        <v>47.762839113239501</v>
      </c>
      <c r="L67" s="101">
        <f t="shared" si="11"/>
        <v>44.711619849140234</v>
      </c>
      <c r="M67" s="101">
        <f t="shared" si="11"/>
        <v>49.942560833624356</v>
      </c>
      <c r="N67" s="105">
        <f t="shared" si="13"/>
        <v>48.63093362677396</v>
      </c>
      <c r="O67" s="101">
        <f t="shared" si="12"/>
        <v>2.3128421426972081</v>
      </c>
      <c r="P67" s="134">
        <f t="shared" si="7"/>
        <v>4.7559073417086593</v>
      </c>
      <c r="Q67" s="133">
        <f t="shared" si="8"/>
        <v>47.988036343960374</v>
      </c>
      <c r="R67" s="108">
        <f t="shared" si="9"/>
        <v>51.707614274791837</v>
      </c>
      <c r="S67" s="4"/>
    </row>
    <row r="68" spans="1:21" ht="30" customHeight="1" x14ac:dyDescent="0.25">
      <c r="A68" s="41">
        <v>16</v>
      </c>
      <c r="B68" s="101">
        <f>IFERROR(((B53/$H$16*$C$13/$E$13*$G$13/$I$13*$K$13/$M$13*$F$35/B43*$J$35/$H$35*$P$13/100/$B$4*$F$10*100)+(B67*$M$35/$F$35)), "")</f>
        <v>36.367605539751416</v>
      </c>
      <c r="C68" s="101">
        <f t="shared" si="11"/>
        <v>39.358962904364262</v>
      </c>
      <c r="D68" s="101">
        <f t="shared" si="11"/>
        <v>35.314694456421691</v>
      </c>
      <c r="E68" s="101">
        <f t="shared" si="11"/>
        <v>36.972332392009363</v>
      </c>
      <c r="F68" s="101">
        <f t="shared" si="11"/>
        <v>37.141355044068668</v>
      </c>
      <c r="G68" s="101">
        <f t="shared" si="11"/>
        <v>40.39391426046717</v>
      </c>
      <c r="H68" s="101">
        <f t="shared" si="11"/>
        <v>35.813606953477183</v>
      </c>
      <c r="I68" s="101">
        <f t="shared" si="11"/>
        <v>34.371749214910949</v>
      </c>
      <c r="J68" s="101">
        <f t="shared" si="11"/>
        <v>34.742629592249109</v>
      </c>
      <c r="K68" s="101">
        <f t="shared" si="11"/>
        <v>38.532901483992006</v>
      </c>
      <c r="L68" s="101">
        <f t="shared" si="11"/>
        <v>36.98639622467585</v>
      </c>
      <c r="M68" s="101">
        <f t="shared" si="11"/>
        <v>33.940403407432392</v>
      </c>
      <c r="N68" s="105">
        <f t="shared" si="13"/>
        <v>36.661379289485005</v>
      </c>
      <c r="O68" s="101">
        <f t="shared" si="12"/>
        <v>2.0020528459469022</v>
      </c>
      <c r="P68" s="134">
        <f t="shared" si="7"/>
        <v>5.4609315981767192</v>
      </c>
      <c r="Q68" s="133">
        <f t="shared" si="8"/>
        <v>35.314694456421691</v>
      </c>
      <c r="R68" s="108">
        <f t="shared" si="9"/>
        <v>40.39391426046717</v>
      </c>
      <c r="S68" s="4"/>
    </row>
    <row r="69" spans="1:21" ht="30" customHeight="1" x14ac:dyDescent="0.25">
      <c r="A69" s="41">
        <v>20</v>
      </c>
      <c r="B69" s="101">
        <f>IFERROR(((B54/$H$16*$C$13/$E$13*$G$13/$I$13*$K$13/$M$13*$F$35/B43*$J$35/$H$35*$P$13/100/$B$4*$F$10*100)+(B68*$M$35/$F$35)), "")</f>
        <v>25.219263858292216</v>
      </c>
      <c r="C69" s="101">
        <f t="shared" si="11"/>
        <v>26.886582550065732</v>
      </c>
      <c r="D69" s="101">
        <f t="shared" si="11"/>
        <v>28.606845712090458</v>
      </c>
      <c r="E69" s="101">
        <f t="shared" si="11"/>
        <v>30.318168160166408</v>
      </c>
      <c r="F69" s="101">
        <f t="shared" si="11"/>
        <v>25.41765175913422</v>
      </c>
      <c r="G69" s="101">
        <f t="shared" si="11"/>
        <v>24.035336165273229</v>
      </c>
      <c r="H69" s="101">
        <f t="shared" si="11"/>
        <v>24.321419551272008</v>
      </c>
      <c r="I69" s="101">
        <f t="shared" si="11"/>
        <v>27.796869760719975</v>
      </c>
      <c r="J69" s="101">
        <f t="shared" si="11"/>
        <v>23.928573800336299</v>
      </c>
      <c r="K69" s="101">
        <f t="shared" si="11"/>
        <v>21.535563275515148</v>
      </c>
      <c r="L69" s="101">
        <f t="shared" si="11"/>
        <v>24.19297998547162</v>
      </c>
      <c r="M69" s="101">
        <f t="shared" si="11"/>
        <v>27.534812603500033</v>
      </c>
      <c r="N69" s="105">
        <f t="shared" si="13"/>
        <v>25.81617226515311</v>
      </c>
      <c r="O69" s="101">
        <f t="shared" si="12"/>
        <v>2.4591326312580093</v>
      </c>
      <c r="P69" s="134">
        <f t="shared" si="7"/>
        <v>9.5255509066205271</v>
      </c>
      <c r="Q69" s="133">
        <f t="shared" si="8"/>
        <v>24.035336165273229</v>
      </c>
      <c r="R69" s="108">
        <f t="shared" si="9"/>
        <v>30.318168160166408</v>
      </c>
      <c r="S69" s="4"/>
    </row>
    <row r="70" spans="1:21" ht="30" customHeight="1" x14ac:dyDescent="0.25">
      <c r="A70" s="41">
        <v>24</v>
      </c>
      <c r="B70" s="101">
        <f>IFERROR(((B55/$H$16*$C$13/$E$13*$G$13/$I$13*$K$13/$M$13*$F$35/B43*$J$35/$H$35*$P$13/100/$B$4*$F$10*100)+(B69*$M$35/$F$35)), "")</f>
        <v>11.994820590647199</v>
      </c>
      <c r="C70" s="101">
        <f t="shared" si="11"/>
        <v>13.688516146080456</v>
      </c>
      <c r="D70" s="101">
        <f t="shared" si="11"/>
        <v>13.037456724342494</v>
      </c>
      <c r="E70" s="101">
        <f t="shared" si="11"/>
        <v>15.036516400985327</v>
      </c>
      <c r="F70" s="101">
        <f t="shared" si="11"/>
        <v>13.398968684634928</v>
      </c>
      <c r="G70" s="101">
        <f t="shared" si="11"/>
        <v>14.840594909594122</v>
      </c>
      <c r="H70" s="101">
        <f t="shared" si="11"/>
        <v>11.568274516702918</v>
      </c>
      <c r="I70" s="101">
        <f t="shared" si="11"/>
        <v>12.752490222754105</v>
      </c>
      <c r="J70" s="101">
        <f t="shared" si="11"/>
        <v>13.287501381677934</v>
      </c>
      <c r="K70" s="101">
        <f t="shared" si="11"/>
        <v>13.916420384687246</v>
      </c>
      <c r="L70" s="101">
        <f t="shared" si="11"/>
        <v>13.181567738882405</v>
      </c>
      <c r="M70" s="101">
        <f t="shared" si="11"/>
        <v>11.818711084398856</v>
      </c>
      <c r="N70" s="105">
        <f t="shared" si="13"/>
        <v>13.210153232115664</v>
      </c>
      <c r="O70" s="101">
        <f t="shared" si="12"/>
        <v>1.0917970136104984</v>
      </c>
      <c r="P70" s="134">
        <f t="shared" si="7"/>
        <v>8.2648323181913792</v>
      </c>
      <c r="Q70" s="133">
        <f t="shared" si="8"/>
        <v>11.994820590647199</v>
      </c>
      <c r="R70" s="108">
        <f t="shared" si="9"/>
        <v>15.036516400985327</v>
      </c>
      <c r="S70" s="4"/>
    </row>
    <row r="71" spans="1:21" ht="30" customHeight="1" x14ac:dyDescent="0.25">
      <c r="A71" s="41">
        <v>36</v>
      </c>
      <c r="B71" s="101">
        <f>IFERROR(((B56/$H$16*$C$13/$E$13*$G$13/$I$13*$K$13/$M$13*$F$35/B43*$J$35/$H$35*$P$13/100/$B$4*$F$10*100)+(B70*$M$35/$F$35)), "")</f>
        <v>10.390716423035199</v>
      </c>
      <c r="C71" s="101">
        <f t="shared" si="11"/>
        <v>10.395000381311725</v>
      </c>
      <c r="D71" s="101">
        <f t="shared" si="11"/>
        <v>11.038441430772457</v>
      </c>
      <c r="E71" s="101">
        <f t="shared" si="11"/>
        <v>9.8664260982236662</v>
      </c>
      <c r="F71" s="101">
        <f t="shared" si="11"/>
        <v>9.0537513642599645</v>
      </c>
      <c r="G71" s="101">
        <f t="shared" si="11"/>
        <v>9.801375315123428</v>
      </c>
      <c r="H71" s="101">
        <f t="shared" si="11"/>
        <v>9.8801567450117727</v>
      </c>
      <c r="I71" s="101">
        <f t="shared" si="11"/>
        <v>8.5515283508825917</v>
      </c>
      <c r="J71" s="101">
        <f t="shared" si="11"/>
        <v>8.5545462854707832</v>
      </c>
      <c r="K71" s="101">
        <f t="shared" si="11"/>
        <v>9.6173667640294607</v>
      </c>
      <c r="L71" s="101">
        <f t="shared" si="11"/>
        <v>9.7253698123155417</v>
      </c>
      <c r="M71" s="101">
        <f t="shared" si="11"/>
        <v>10.577490314920947</v>
      </c>
      <c r="N71" s="105">
        <f t="shared" si="13"/>
        <v>9.787680773779794</v>
      </c>
      <c r="O71" s="101">
        <f t="shared" si="12"/>
        <v>0.77200247167817548</v>
      </c>
      <c r="P71" s="134">
        <f t="shared" si="7"/>
        <v>7.8874913222169232</v>
      </c>
      <c r="Q71" s="133">
        <f t="shared" si="8"/>
        <v>9.0537513642599645</v>
      </c>
      <c r="R71" s="108">
        <f t="shared" si="9"/>
        <v>11.038441430772457</v>
      </c>
      <c r="S71" s="4"/>
    </row>
    <row r="72" spans="1:21" ht="30" customHeight="1" x14ac:dyDescent="0.25">
      <c r="A72" s="41">
        <v>48</v>
      </c>
      <c r="B72" s="101">
        <f>IFERROR(((B57/$H$16*$C$13/$E$13*$G$13/$I$13*$K$13/$M$13*$F$35/B43*$J$35/$H$35*$P$13/100/$B$4*$F$10*100)+(B70*$M$35/$F$35)), "")</f>
        <v>2.8429467035682019</v>
      </c>
      <c r="C72" s="101">
        <f t="shared" ref="C72:K72" si="14">IFERROR(((C57/$H$16*$C$13/$E$13*$G$13/$I$13*$K$13/$M$13*$F$35/C$43*$J$35/$H$35*$P$13/100/$B$4*$F$10*100)+(C70*$M$35/$F$35)), "")</f>
        <v>3.0238422672260667</v>
      </c>
      <c r="D72" s="101">
        <f t="shared" si="14"/>
        <v>2.7935185470496924</v>
      </c>
      <c r="E72" s="101">
        <f t="shared" si="14"/>
        <v>1.96107312256638</v>
      </c>
      <c r="F72" s="101">
        <f t="shared" si="14"/>
        <v>3.280911491903626</v>
      </c>
      <c r="G72" s="101">
        <f t="shared" si="14"/>
        <v>3.2633161490225007</v>
      </c>
      <c r="H72" s="101">
        <f t="shared" si="14"/>
        <v>2.6407375231465831</v>
      </c>
      <c r="I72" s="101">
        <f t="shared" si="14"/>
        <v>2.1403216695909935</v>
      </c>
      <c r="J72" s="101">
        <f t="shared" si="14"/>
        <v>2.9688912546498427</v>
      </c>
      <c r="K72" s="101">
        <f t="shared" si="14"/>
        <v>3.0347285544489973</v>
      </c>
      <c r="L72" s="101">
        <f>IFERROR(((L57/$H$16*$C$13/$E$13*$G$13/$I$13*$K$13/$M$13*$F$35/L$43*$J$35/$H$35*$P$13/100/$B$4*$F$10*100)+(L70*$M$35/$F$35)), "")</f>
        <v>2.984177880416842</v>
      </c>
      <c r="M72" s="101">
        <f>IFERROR(((M57/$H$16*$C$13/$E$13*$G$13/$I$13*$K$13/$M$13*$F$35/M$43*$J$35/$H$35*$P$13/100/$B$4*$F$10*100)+(M70*$M$35/$F$35)), "")</f>
        <v>2.3346627195675298</v>
      </c>
      <c r="N72" s="105">
        <f t="shared" si="13"/>
        <v>2.7724273235964376</v>
      </c>
      <c r="O72" s="101">
        <f t="shared" si="12"/>
        <v>0.42503762876728385</v>
      </c>
      <c r="P72" s="134">
        <f t="shared" si="7"/>
        <v>15.330884425706717</v>
      </c>
      <c r="Q72" s="133">
        <f t="shared" si="8"/>
        <v>1.96107312256638</v>
      </c>
      <c r="R72" s="108">
        <f t="shared" si="9"/>
        <v>3.280911491903626</v>
      </c>
      <c r="S72" s="4"/>
    </row>
    <row r="73" spans="1:21" ht="30" customHeight="1" x14ac:dyDescent="0.25">
      <c r="A73" s="41">
        <v>60</v>
      </c>
      <c r="B73" s="101">
        <f>IFERROR(((B58/$H$16*$C$13/$E$13*$G$13/$I$13*$K$13/$M$13*$F$35/B43*$J$35/$H$35*$P$13/100/$B$4*$F$10*100)+(B71*$M$35/$F$35)), "")</f>
        <v>0.68288609395599331</v>
      </c>
      <c r="C73" s="101">
        <f t="shared" ref="C73:J73" si="15">IFERROR(((C58/$H$16*$C$13/$E$13*$G$13/$I$13*$K$13/$M$13*$F$35/C$43*$J$35/$H$35*$P$13/100/$B$4*$F$10*100)+(C72*$M$35/$F$35)), "")</f>
        <v>0.5655648379056738</v>
      </c>
      <c r="D73" s="101">
        <f t="shared" si="15"/>
        <v>1.0590173610409843</v>
      </c>
      <c r="E73" s="101">
        <f t="shared" si="15"/>
        <v>0.51189861198853792</v>
      </c>
      <c r="F73" s="101">
        <f t="shared" si="15"/>
        <v>0.76205204763076062</v>
      </c>
      <c r="G73" s="101">
        <f t="shared" si="15"/>
        <v>0.69222748917196786</v>
      </c>
      <c r="H73" s="101">
        <f t="shared" si="15"/>
        <v>0.53464885403051832</v>
      </c>
      <c r="I73" s="101">
        <f t="shared" si="15"/>
        <v>0.55758828924269066</v>
      </c>
      <c r="J73" s="101">
        <f t="shared" si="15"/>
        <v>0.58566830622145749</v>
      </c>
      <c r="K73" s="101">
        <f t="shared" ref="K73" si="16">IFERROR(((K50/$H$16*$C$13/$E$13*$G$13/$I$13*$K$13/$M$13*$F$35/K43*$J$35/$H$35*$P$13/100/$B$4*$F$10*100)+(K64*$M$35/$F$35)), "")</f>
        <v>60.400864703737042</v>
      </c>
      <c r="L73" s="101">
        <f>IFERROR(((L58/$H$16*$C$13/$E$13*$G$13/$I$13*$K$13/$M$13*$F$35/L$43*$J$35/$H$35*$P$13/100/$B$4*$F$10*100)+(L72*$M$35/$F$35)), "")</f>
        <v>0.62697035213314845</v>
      </c>
      <c r="M73" s="101">
        <f>IFERROR(((M58/$H$16*$C$13/$E$13*$G$13/$I$13*$K$13/$M$13*$F$35/M$43*$J$35/$H$35*$P$13/100/$B$4*$F$10*100)+(M72*$M$35/$F$35)), "")</f>
        <v>0.83300560619935804</v>
      </c>
      <c r="N73" s="105">
        <f t="shared" si="13"/>
        <v>5.651032712771511</v>
      </c>
      <c r="O73" s="101">
        <f t="shared" si="12"/>
        <v>17.242418141731228</v>
      </c>
      <c r="P73" s="134">
        <f t="shared" si="7"/>
        <v>305.11977222787658</v>
      </c>
      <c r="Q73" s="133">
        <f t="shared" si="8"/>
        <v>0.51189861198853792</v>
      </c>
      <c r="R73" s="108">
        <f t="shared" si="9"/>
        <v>1.0590173610409843</v>
      </c>
      <c r="S73" s="4"/>
    </row>
    <row r="74" spans="1:21" ht="15" customHeight="1" thickBot="1" x14ac:dyDescent="0.3">
      <c r="A74" s="69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7"/>
      <c r="O74" s="38"/>
      <c r="P74" s="38"/>
      <c r="Q74" s="39"/>
      <c r="R74" s="40"/>
      <c r="S74" s="4"/>
    </row>
    <row r="75" spans="1:21" ht="30" customHeight="1" thickBot="1" x14ac:dyDescent="0.3">
      <c r="A75" s="266" t="s">
        <v>79</v>
      </c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8"/>
      <c r="M75" s="70"/>
      <c r="N75" s="116"/>
      <c r="O75" s="116"/>
      <c r="P75" s="70"/>
      <c r="Q75" s="70"/>
      <c r="R75" s="70"/>
    </row>
    <row r="76" spans="1:21" ht="69" customHeight="1" x14ac:dyDescent="0.25">
      <c r="A76" s="99" t="str">
        <f t="shared" ref="A76:M76" si="17">A61</f>
        <v>Time Interval (Hours)</v>
      </c>
      <c r="B76" s="107">
        <f t="shared" si="17"/>
        <v>1</v>
      </c>
      <c r="C76" s="107">
        <f t="shared" si="17"/>
        <v>2</v>
      </c>
      <c r="D76" s="107">
        <f t="shared" si="17"/>
        <v>3</v>
      </c>
      <c r="E76" s="107">
        <f t="shared" si="17"/>
        <v>4</v>
      </c>
      <c r="F76" s="107">
        <f t="shared" si="17"/>
        <v>5</v>
      </c>
      <c r="G76" s="107">
        <f t="shared" si="17"/>
        <v>6</v>
      </c>
      <c r="H76" s="107">
        <f t="shared" si="17"/>
        <v>7</v>
      </c>
      <c r="I76" s="107">
        <f t="shared" si="17"/>
        <v>8</v>
      </c>
      <c r="J76" s="107">
        <f t="shared" si="17"/>
        <v>9</v>
      </c>
      <c r="K76" s="107">
        <f t="shared" si="17"/>
        <v>10</v>
      </c>
      <c r="L76" s="107">
        <f t="shared" si="17"/>
        <v>11</v>
      </c>
      <c r="M76" s="107">
        <f t="shared" si="17"/>
        <v>12</v>
      </c>
      <c r="N76" s="136" t="s">
        <v>31</v>
      </c>
      <c r="O76" s="136" t="s">
        <v>15</v>
      </c>
      <c r="P76" s="136" t="s">
        <v>22</v>
      </c>
      <c r="Q76" s="151" t="s">
        <v>23</v>
      </c>
      <c r="R76" s="152" t="s">
        <v>24</v>
      </c>
      <c r="S76" s="243" t="s">
        <v>117</v>
      </c>
      <c r="T76" s="244"/>
      <c r="U76" s="245"/>
    </row>
    <row r="77" spans="1:21" ht="30" customHeight="1" x14ac:dyDescent="0.25">
      <c r="A77" s="44">
        <v>0.5</v>
      </c>
      <c r="B77" s="159">
        <f t="shared" ref="B77:M88" si="18">IFERROR(($B$10-B62), "")</f>
        <v>12.495894957258713</v>
      </c>
      <c r="C77" s="159">
        <f t="shared" si="18"/>
        <v>12.088770152019279</v>
      </c>
      <c r="D77" s="159">
        <f t="shared" si="18"/>
        <v>17.768973619788468</v>
      </c>
      <c r="E77" s="159">
        <f t="shared" si="18"/>
        <v>14.176559385998189</v>
      </c>
      <c r="F77" s="159">
        <f t="shared" si="18"/>
        <v>13.87183682817286</v>
      </c>
      <c r="G77" s="159">
        <f t="shared" si="18"/>
        <v>13.899376094360179</v>
      </c>
      <c r="H77" s="159">
        <f t="shared" si="18"/>
        <v>15.023830430172055</v>
      </c>
      <c r="I77" s="159">
        <f t="shared" si="18"/>
        <v>19.366265854484311</v>
      </c>
      <c r="J77" s="159">
        <f t="shared" si="18"/>
        <v>18.401656469558432</v>
      </c>
      <c r="K77" s="159">
        <f t="shared" si="18"/>
        <v>16.49980550281127</v>
      </c>
      <c r="L77" s="159">
        <f t="shared" si="18"/>
        <v>18.563700098279199</v>
      </c>
      <c r="M77" s="159">
        <f t="shared" si="18"/>
        <v>19.4927332558362</v>
      </c>
      <c r="N77" s="105">
        <f>IFERROR((AVERAGE(B77:M77)), "")</f>
        <v>15.970783554061592</v>
      </c>
      <c r="O77" s="101">
        <f>IFERROR((STDEV(B77:M77)), "")</f>
        <v>2.6974109884342896</v>
      </c>
      <c r="P77" s="100">
        <f>IFERROR((O77/N77*100), "")</f>
        <v>16.889659667000501</v>
      </c>
      <c r="Q77" s="105">
        <f>IFERROR((MIN(B77:G77)), "")</f>
        <v>12.088770152019279</v>
      </c>
      <c r="R77" s="108">
        <f>IFERROR((MAX(B77:M77)), "")</f>
        <v>19.4927332558362</v>
      </c>
      <c r="S77" s="270"/>
      <c r="T77" s="271"/>
      <c r="U77" s="272"/>
    </row>
    <row r="78" spans="1:21" ht="30" customHeight="1" x14ac:dyDescent="0.25">
      <c r="A78" s="44">
        <v>1.5</v>
      </c>
      <c r="B78" s="159">
        <f t="shared" si="18"/>
        <v>16.803508249443681</v>
      </c>
      <c r="C78" s="159">
        <f t="shared" si="18"/>
        <v>15.598910450019858</v>
      </c>
      <c r="D78" s="159">
        <f t="shared" si="18"/>
        <v>18.524865820504232</v>
      </c>
      <c r="E78" s="159">
        <f t="shared" si="18"/>
        <v>15.406669663224406</v>
      </c>
      <c r="F78" s="159">
        <f t="shared" si="18"/>
        <v>15.515317881381009</v>
      </c>
      <c r="G78" s="159">
        <f t="shared" si="18"/>
        <v>17.570593659757876</v>
      </c>
      <c r="H78" s="159">
        <f t="shared" si="18"/>
        <v>18.605980147260738</v>
      </c>
      <c r="I78" s="159">
        <f t="shared" si="18"/>
        <v>19.790407556350715</v>
      </c>
      <c r="J78" s="159">
        <f t="shared" si="18"/>
        <v>19.090823484852493</v>
      </c>
      <c r="K78" s="159">
        <f t="shared" si="18"/>
        <v>21.302189840632693</v>
      </c>
      <c r="L78" s="159">
        <f t="shared" si="18"/>
        <v>21.070152790144334</v>
      </c>
      <c r="M78" s="159">
        <f t="shared" si="18"/>
        <v>20.638220506351274</v>
      </c>
      <c r="N78" s="105">
        <f>IFERROR((AVERAGE(B78:M78)), "")</f>
        <v>18.326470004160274</v>
      </c>
      <c r="O78" s="101">
        <f>IFERROR((STDEV(B78:M78)), "")</f>
        <v>2.1601743057602465</v>
      </c>
      <c r="P78" s="100">
        <f t="shared" ref="P78:P89" si="19">IFERROR((O78/N78*100), "")</f>
        <v>11.787181630013132</v>
      </c>
      <c r="Q78" s="105">
        <f t="shared" ref="Q78:Q88" si="20">IFERROR((MIN(B78:G78)), "")</f>
        <v>15.406669663224406</v>
      </c>
      <c r="R78" s="108">
        <f>IFERROR((MAX(B78:M78)), "")</f>
        <v>21.302189840632693</v>
      </c>
      <c r="S78" s="270"/>
      <c r="T78" s="271"/>
      <c r="U78" s="272"/>
    </row>
    <row r="79" spans="1:21" ht="30" customHeight="1" x14ac:dyDescent="0.25">
      <c r="A79" s="44">
        <v>3</v>
      </c>
      <c r="B79" s="159">
        <f t="shared" si="18"/>
        <v>24.138408321001279</v>
      </c>
      <c r="C79" s="159">
        <f t="shared" si="18"/>
        <v>27.135704406926706</v>
      </c>
      <c r="D79" s="159">
        <f t="shared" si="18"/>
        <v>23.865589838492028</v>
      </c>
      <c r="E79" s="159">
        <f t="shared" si="18"/>
        <v>23.904152442200029</v>
      </c>
      <c r="F79" s="159">
        <f t="shared" si="18"/>
        <v>23.020599380035335</v>
      </c>
      <c r="G79" s="159">
        <f t="shared" si="18"/>
        <v>25.111410637024306</v>
      </c>
      <c r="H79" s="159">
        <f t="shared" si="18"/>
        <v>28.192680696630319</v>
      </c>
      <c r="I79" s="159">
        <f t="shared" si="18"/>
        <v>29.40905899730231</v>
      </c>
      <c r="J79" s="159">
        <f t="shared" si="18"/>
        <v>27.611478994817404</v>
      </c>
      <c r="K79" s="159">
        <f t="shared" si="18"/>
        <v>27.453452303033146</v>
      </c>
      <c r="L79" s="159">
        <f t="shared" si="18"/>
        <v>31.818431414728622</v>
      </c>
      <c r="M79" s="159">
        <f t="shared" si="18"/>
        <v>27.991356547454473</v>
      </c>
      <c r="N79" s="105">
        <f>IFERROR((AVERAGE(B79:M79)), "")</f>
        <v>26.637693664970495</v>
      </c>
      <c r="O79" s="101">
        <f>IFERROR((STDEV(B79:M79)), "")</f>
        <v>2.6534501973471127</v>
      </c>
      <c r="P79" s="100">
        <f t="shared" si="19"/>
        <v>9.961261026274558</v>
      </c>
      <c r="Q79" s="105">
        <f t="shared" si="20"/>
        <v>23.020599380035335</v>
      </c>
      <c r="R79" s="108">
        <f>IFERROR((MAX(B79:M79)), "")</f>
        <v>31.818431414728622</v>
      </c>
      <c r="S79" s="270"/>
      <c r="T79" s="271"/>
      <c r="U79" s="272"/>
    </row>
    <row r="80" spans="1:21" ht="30" customHeight="1" x14ac:dyDescent="0.25">
      <c r="A80" s="44">
        <v>7</v>
      </c>
      <c r="B80" s="159">
        <f t="shared" si="18"/>
        <v>44.947471475703985</v>
      </c>
      <c r="C80" s="159">
        <f t="shared" si="18"/>
        <v>40.530354299562092</v>
      </c>
      <c r="D80" s="159">
        <f t="shared" si="18"/>
        <v>41.595850946621994</v>
      </c>
      <c r="E80" s="159">
        <f t="shared" si="18"/>
        <v>40.25204339425251</v>
      </c>
      <c r="F80" s="159">
        <f t="shared" si="18"/>
        <v>37.578768306440324</v>
      </c>
      <c r="G80" s="159">
        <f t="shared" si="18"/>
        <v>41.336602402796331</v>
      </c>
      <c r="H80" s="159">
        <f t="shared" si="18"/>
        <v>46.497566850236147</v>
      </c>
      <c r="I80" s="159">
        <f t="shared" si="18"/>
        <v>46.881255011840054</v>
      </c>
      <c r="J80" s="159">
        <f t="shared" si="18"/>
        <v>42.540830458799277</v>
      </c>
      <c r="K80" s="159">
        <f t="shared" si="18"/>
        <v>43.450035296262953</v>
      </c>
      <c r="L80" s="159">
        <f t="shared" si="18"/>
        <v>44.571301305928586</v>
      </c>
      <c r="M80" s="159">
        <f t="shared" si="18"/>
        <v>45.050216241215786</v>
      </c>
      <c r="N80" s="105">
        <f t="shared" ref="N80:N88" si="21">IFERROR((AVERAGE(B80:M80)), "")</f>
        <v>42.936024665805007</v>
      </c>
      <c r="O80" s="101">
        <f t="shared" ref="O80:O88" si="22">IFERROR((STDEV(B80:M80)), "")</f>
        <v>2.7945577440084146</v>
      </c>
      <c r="P80" s="100">
        <f t="shared" si="19"/>
        <v>6.5086550647387913</v>
      </c>
      <c r="Q80" s="105">
        <f t="shared" si="20"/>
        <v>37.578768306440324</v>
      </c>
      <c r="R80" s="108">
        <f t="shared" ref="R80:R88" si="23">IFERROR((MAX(B80:M80)), "")</f>
        <v>46.881255011840054</v>
      </c>
      <c r="S80" s="156"/>
      <c r="T80" s="157"/>
      <c r="U80" s="158"/>
    </row>
    <row r="81" spans="1:21" ht="30" customHeight="1" x14ac:dyDescent="0.25">
      <c r="A81" s="44">
        <v>10</v>
      </c>
      <c r="B81" s="159">
        <f t="shared" si="18"/>
        <v>49.501912993446325</v>
      </c>
      <c r="C81" s="159">
        <f t="shared" si="18"/>
        <v>48.528927594092579</v>
      </c>
      <c r="D81" s="159">
        <f t="shared" si="18"/>
        <v>43.870449498741316</v>
      </c>
      <c r="E81" s="159">
        <f t="shared" si="18"/>
        <v>51.916340461341122</v>
      </c>
      <c r="F81" s="159">
        <f t="shared" si="18"/>
        <v>48.001843497221195</v>
      </c>
      <c r="G81" s="159">
        <f t="shared" si="18"/>
        <v>48.430000105140195</v>
      </c>
      <c r="H81" s="159">
        <f t="shared" si="18"/>
        <v>54.482201687618179</v>
      </c>
      <c r="I81" s="159">
        <f t="shared" si="18"/>
        <v>55.487014677747425</v>
      </c>
      <c r="J81" s="159">
        <f t="shared" si="18"/>
        <v>51.33931044392677</v>
      </c>
      <c r="K81" s="159">
        <f t="shared" si="18"/>
        <v>50.541188809707272</v>
      </c>
      <c r="L81" s="159">
        <f t="shared" si="18"/>
        <v>52.019745368721473</v>
      </c>
      <c r="M81" s="159">
        <f t="shared" si="18"/>
        <v>49.169908131784744</v>
      </c>
      <c r="N81" s="105">
        <f t="shared" si="21"/>
        <v>50.274070272457379</v>
      </c>
      <c r="O81" s="101">
        <f t="shared" si="22"/>
        <v>3.1081209378703365</v>
      </c>
      <c r="P81" s="100">
        <f t="shared" si="19"/>
        <v>6.1823538874534272</v>
      </c>
      <c r="Q81" s="105">
        <f t="shared" si="20"/>
        <v>43.870449498741316</v>
      </c>
      <c r="R81" s="108">
        <f t="shared" si="23"/>
        <v>55.487014677747425</v>
      </c>
      <c r="S81" s="156"/>
      <c r="T81" s="157"/>
      <c r="U81" s="158"/>
    </row>
    <row r="82" spans="1:21" ht="30" customHeight="1" x14ac:dyDescent="0.25">
      <c r="A82" s="41">
        <v>12</v>
      </c>
      <c r="B82" s="159">
        <f t="shared" si="18"/>
        <v>54.485998485341305</v>
      </c>
      <c r="C82" s="159">
        <f t="shared" si="18"/>
        <v>54.058757699254635</v>
      </c>
      <c r="D82" s="159">
        <f t="shared" si="18"/>
        <v>52.143285725208159</v>
      </c>
      <c r="E82" s="159">
        <f t="shared" si="18"/>
        <v>52.560435659388531</v>
      </c>
      <c r="F82" s="159">
        <f t="shared" si="18"/>
        <v>55.862863656039622</v>
      </c>
      <c r="G82" s="159">
        <f t="shared" si="18"/>
        <v>52.517952790210124</v>
      </c>
      <c r="H82" s="159">
        <f t="shared" si="18"/>
        <v>56.182501089366987</v>
      </c>
      <c r="I82" s="159">
        <f t="shared" si="18"/>
        <v>58.117225808036096</v>
      </c>
      <c r="J82" s="159">
        <f t="shared" si="18"/>
        <v>57.574895361871093</v>
      </c>
      <c r="K82" s="159">
        <f t="shared" si="18"/>
        <v>56.088060886760495</v>
      </c>
      <c r="L82" s="159">
        <f t="shared" si="18"/>
        <v>59.139280150859761</v>
      </c>
      <c r="M82" s="159">
        <f t="shared" si="18"/>
        <v>53.90833916637564</v>
      </c>
      <c r="N82" s="105">
        <f t="shared" si="21"/>
        <v>55.219966373226043</v>
      </c>
      <c r="O82" s="101">
        <f t="shared" si="22"/>
        <v>2.3128421426972077</v>
      </c>
      <c r="P82" s="100">
        <f t="shared" si="19"/>
        <v>4.1884164272483382</v>
      </c>
      <c r="Q82" s="105">
        <f t="shared" si="20"/>
        <v>52.143285725208159</v>
      </c>
      <c r="R82" s="108">
        <f t="shared" si="23"/>
        <v>59.139280150859761</v>
      </c>
      <c r="S82" s="156"/>
      <c r="T82" s="157"/>
      <c r="U82" s="158"/>
    </row>
    <row r="83" spans="1:21" ht="30" customHeight="1" x14ac:dyDescent="0.25">
      <c r="A83" s="41">
        <v>16</v>
      </c>
      <c r="B83" s="159">
        <f t="shared" si="18"/>
        <v>67.483294460248572</v>
      </c>
      <c r="C83" s="159">
        <f t="shared" si="18"/>
        <v>64.491937095635734</v>
      </c>
      <c r="D83" s="159">
        <f t="shared" si="18"/>
        <v>68.536205543578305</v>
      </c>
      <c r="E83" s="159">
        <f t="shared" si="18"/>
        <v>66.878567607990632</v>
      </c>
      <c r="F83" s="159">
        <f t="shared" si="18"/>
        <v>66.709544955931335</v>
      </c>
      <c r="G83" s="159">
        <f t="shared" si="18"/>
        <v>63.456985739532826</v>
      </c>
      <c r="H83" s="159">
        <f t="shared" si="18"/>
        <v>68.037293046522819</v>
      </c>
      <c r="I83" s="159">
        <f t="shared" si="18"/>
        <v>69.479150785089047</v>
      </c>
      <c r="J83" s="159">
        <f t="shared" si="18"/>
        <v>69.108270407750894</v>
      </c>
      <c r="K83" s="159">
        <f t="shared" si="18"/>
        <v>65.317998516007989</v>
      </c>
      <c r="L83" s="159">
        <f t="shared" si="18"/>
        <v>66.864503775324152</v>
      </c>
      <c r="M83" s="159">
        <f t="shared" si="18"/>
        <v>69.910496592567597</v>
      </c>
      <c r="N83" s="105">
        <f>IFERROR((AVERAGE(B83:M83)), "")</f>
        <v>67.189520710514984</v>
      </c>
      <c r="O83" s="101">
        <f t="shared" si="22"/>
        <v>2.0020528459469018</v>
      </c>
      <c r="P83" s="100">
        <f t="shared" si="19"/>
        <v>2.9797099678277443</v>
      </c>
      <c r="Q83" s="105">
        <f t="shared" si="20"/>
        <v>63.456985739532826</v>
      </c>
      <c r="R83" s="108">
        <f t="shared" si="23"/>
        <v>69.910496592567597</v>
      </c>
      <c r="S83" s="156"/>
      <c r="T83" s="157"/>
      <c r="U83" s="158"/>
    </row>
    <row r="84" spans="1:21" ht="30" customHeight="1" x14ac:dyDescent="0.25">
      <c r="A84" s="41">
        <v>20</v>
      </c>
      <c r="B84" s="159">
        <f t="shared" si="18"/>
        <v>78.631636141707787</v>
      </c>
      <c r="C84" s="159">
        <f t="shared" si="18"/>
        <v>76.964317449934271</v>
      </c>
      <c r="D84" s="159">
        <f t="shared" si="18"/>
        <v>75.244054287909535</v>
      </c>
      <c r="E84" s="159">
        <f t="shared" si="18"/>
        <v>73.532731839833588</v>
      </c>
      <c r="F84" s="159">
        <f t="shared" si="18"/>
        <v>78.43324824086578</v>
      </c>
      <c r="G84" s="159">
        <f t="shared" si="18"/>
        <v>79.81556383472676</v>
      </c>
      <c r="H84" s="159">
        <f t="shared" si="18"/>
        <v>79.529480448727981</v>
      </c>
      <c r="I84" s="159">
        <f t="shared" si="18"/>
        <v>76.054030239280024</v>
      </c>
      <c r="J84" s="159">
        <f t="shared" si="18"/>
        <v>79.922326199663701</v>
      </c>
      <c r="K84" s="159">
        <f t="shared" si="18"/>
        <v>82.315336724484851</v>
      </c>
      <c r="L84" s="159">
        <f t="shared" si="18"/>
        <v>79.657920014528372</v>
      </c>
      <c r="M84" s="159">
        <f t="shared" si="18"/>
        <v>76.316087396499967</v>
      </c>
      <c r="N84" s="105">
        <f t="shared" si="21"/>
        <v>78.034727734846896</v>
      </c>
      <c r="O84" s="101">
        <f t="shared" si="22"/>
        <v>2.4591326312580088</v>
      </c>
      <c r="P84" s="100">
        <f t="shared" si="19"/>
        <v>3.151331083788568</v>
      </c>
      <c r="Q84" s="105">
        <f t="shared" si="20"/>
        <v>73.532731839833588</v>
      </c>
      <c r="R84" s="108">
        <f t="shared" si="23"/>
        <v>82.315336724484851</v>
      </c>
      <c r="S84" s="156"/>
      <c r="T84" s="157"/>
      <c r="U84" s="158"/>
    </row>
    <row r="85" spans="1:21" ht="30" customHeight="1" x14ac:dyDescent="0.25">
      <c r="A85" s="41">
        <v>24</v>
      </c>
      <c r="B85" s="159">
        <f t="shared" si="18"/>
        <v>91.856079409352802</v>
      </c>
      <c r="C85" s="159">
        <f t="shared" si="18"/>
        <v>90.162383853919536</v>
      </c>
      <c r="D85" s="159">
        <f t="shared" si="18"/>
        <v>90.813443275657505</v>
      </c>
      <c r="E85" s="159">
        <f t="shared" si="18"/>
        <v>88.814383599014661</v>
      </c>
      <c r="F85" s="159">
        <f t="shared" si="18"/>
        <v>90.451931315365073</v>
      </c>
      <c r="G85" s="159">
        <f t="shared" si="18"/>
        <v>89.010305090405879</v>
      </c>
      <c r="H85" s="159">
        <f t="shared" si="18"/>
        <v>92.282625483297082</v>
      </c>
      <c r="I85" s="159">
        <f t="shared" si="18"/>
        <v>91.098409777245891</v>
      </c>
      <c r="J85" s="159">
        <f t="shared" si="18"/>
        <v>90.563398618322054</v>
      </c>
      <c r="K85" s="159">
        <f t="shared" si="18"/>
        <v>89.934479615312753</v>
      </c>
      <c r="L85" s="159">
        <f t="shared" si="18"/>
        <v>90.669332261117589</v>
      </c>
      <c r="M85" s="159">
        <f t="shared" si="18"/>
        <v>92.032188915601139</v>
      </c>
      <c r="N85" s="105">
        <f>IFERROR((AVERAGE(B85:M85)), "")</f>
        <v>90.640746767884323</v>
      </c>
      <c r="O85" s="101">
        <f t="shared" si="22"/>
        <v>1.0917970136104997</v>
      </c>
      <c r="P85" s="100">
        <f t="shared" si="19"/>
        <v>1.2045322358237049</v>
      </c>
      <c r="Q85" s="105">
        <f t="shared" si="20"/>
        <v>88.814383599014661</v>
      </c>
      <c r="R85" s="108">
        <f t="shared" si="23"/>
        <v>92.282625483297082</v>
      </c>
      <c r="S85" s="156"/>
      <c r="T85" s="157"/>
      <c r="U85" s="158"/>
    </row>
    <row r="86" spans="1:21" ht="30" customHeight="1" x14ac:dyDescent="0.25">
      <c r="A86" s="41">
        <v>36</v>
      </c>
      <c r="B86" s="159">
        <f t="shared" si="18"/>
        <v>93.460183576964795</v>
      </c>
      <c r="C86" s="159">
        <f t="shared" si="18"/>
        <v>93.455899618688278</v>
      </c>
      <c r="D86" s="159">
        <f t="shared" si="18"/>
        <v>92.812458569227545</v>
      </c>
      <c r="E86" s="159">
        <f t="shared" si="18"/>
        <v>93.984473901776326</v>
      </c>
      <c r="F86" s="159">
        <f t="shared" si="18"/>
        <v>94.797148635740029</v>
      </c>
      <c r="G86" s="159">
        <f t="shared" si="18"/>
        <v>94.049524684876573</v>
      </c>
      <c r="H86" s="159">
        <f t="shared" si="18"/>
        <v>93.970743254988221</v>
      </c>
      <c r="I86" s="159">
        <f t="shared" si="18"/>
        <v>95.299371649117404</v>
      </c>
      <c r="J86" s="159">
        <f t="shared" si="18"/>
        <v>95.296353714529218</v>
      </c>
      <c r="K86" s="159">
        <f t="shared" si="18"/>
        <v>94.23353323597054</v>
      </c>
      <c r="L86" s="159">
        <f t="shared" si="18"/>
        <v>94.125530187684461</v>
      </c>
      <c r="M86" s="159">
        <f t="shared" si="18"/>
        <v>93.273409685079045</v>
      </c>
      <c r="N86" s="105">
        <f>IFERROR((AVERAGE(B86:M86)), "")</f>
        <v>94.063219226220198</v>
      </c>
      <c r="O86" s="101">
        <f t="shared" si="22"/>
        <v>0.77200247167817548</v>
      </c>
      <c r="P86" s="100">
        <f t="shared" si="19"/>
        <v>0.82072724921472728</v>
      </c>
      <c r="Q86" s="105">
        <f t="shared" si="20"/>
        <v>92.812458569227545</v>
      </c>
      <c r="R86" s="108">
        <f t="shared" si="23"/>
        <v>95.299371649117404</v>
      </c>
      <c r="S86" s="156"/>
      <c r="T86" s="157"/>
      <c r="U86" s="158"/>
    </row>
    <row r="87" spans="1:21" ht="30" customHeight="1" x14ac:dyDescent="0.25">
      <c r="A87" s="41">
        <v>48</v>
      </c>
      <c r="B87" s="159">
        <f t="shared" si="18"/>
        <v>101.00795329643179</v>
      </c>
      <c r="C87" s="159">
        <f t="shared" si="18"/>
        <v>100.82705773277392</v>
      </c>
      <c r="D87" s="159">
        <f t="shared" si="18"/>
        <v>101.05738145295031</v>
      </c>
      <c r="E87" s="159">
        <f t="shared" si="18"/>
        <v>101.88982687743362</v>
      </c>
      <c r="F87" s="159">
        <f t="shared" si="18"/>
        <v>100.56998850809637</v>
      </c>
      <c r="G87" s="159">
        <f t="shared" si="18"/>
        <v>100.5875838509775</v>
      </c>
      <c r="H87" s="159">
        <f t="shared" si="18"/>
        <v>101.21016247685341</v>
      </c>
      <c r="I87" s="159">
        <f t="shared" si="18"/>
        <v>101.71057833040901</v>
      </c>
      <c r="J87" s="159">
        <f t="shared" si="18"/>
        <v>100.88200874535015</v>
      </c>
      <c r="K87" s="159">
        <f t="shared" si="18"/>
        <v>100.81617144555099</v>
      </c>
      <c r="L87" s="159">
        <f t="shared" si="18"/>
        <v>100.86672211958316</v>
      </c>
      <c r="M87" s="159">
        <f t="shared" si="18"/>
        <v>101.51623728043246</v>
      </c>
      <c r="N87" s="105">
        <f t="shared" si="21"/>
        <v>101.07847267640356</v>
      </c>
      <c r="O87" s="101">
        <f t="shared" si="22"/>
        <v>0.42503762876728191</v>
      </c>
      <c r="P87" s="100">
        <f t="shared" si="19"/>
        <v>0.42050262287600382</v>
      </c>
      <c r="Q87" s="105">
        <f t="shared" si="20"/>
        <v>100.56998850809637</v>
      </c>
      <c r="R87" s="108">
        <f t="shared" si="23"/>
        <v>101.88982687743362</v>
      </c>
      <c r="S87" s="156"/>
      <c r="T87" s="157"/>
      <c r="U87" s="158"/>
    </row>
    <row r="88" spans="1:21" ht="30" customHeight="1" x14ac:dyDescent="0.25">
      <c r="A88" s="41">
        <v>60</v>
      </c>
      <c r="B88" s="159">
        <f t="shared" si="18"/>
        <v>103.168013906044</v>
      </c>
      <c r="C88" s="159">
        <f t="shared" si="18"/>
        <v>103.28533516209433</v>
      </c>
      <c r="D88" s="159">
        <f t="shared" si="18"/>
        <v>102.79188263895901</v>
      </c>
      <c r="E88" s="159">
        <f t="shared" si="18"/>
        <v>103.33900138801145</v>
      </c>
      <c r="F88" s="159">
        <f t="shared" si="18"/>
        <v>103.08884795236924</v>
      </c>
      <c r="G88" s="159">
        <f t="shared" si="18"/>
        <v>103.15867251082803</v>
      </c>
      <c r="H88" s="159">
        <f t="shared" si="18"/>
        <v>103.31625114596947</v>
      </c>
      <c r="I88" s="159">
        <f t="shared" si="18"/>
        <v>103.29331171075731</v>
      </c>
      <c r="J88" s="159">
        <f t="shared" si="18"/>
        <v>103.26523169377853</v>
      </c>
      <c r="K88" s="159">
        <f t="shared" si="18"/>
        <v>43.450035296262953</v>
      </c>
      <c r="L88" s="159">
        <f t="shared" si="18"/>
        <v>103.22392964786685</v>
      </c>
      <c r="M88" s="159">
        <f t="shared" si="18"/>
        <v>103.01789439380063</v>
      </c>
      <c r="N88" s="105">
        <f t="shared" si="21"/>
        <v>98.199867287228486</v>
      </c>
      <c r="O88" s="101">
        <f t="shared" si="22"/>
        <v>17.242418141731186</v>
      </c>
      <c r="P88" s="100">
        <f t="shared" si="19"/>
        <v>17.558494342256274</v>
      </c>
      <c r="Q88" s="105">
        <f t="shared" si="20"/>
        <v>102.79188263895901</v>
      </c>
      <c r="R88" s="108">
        <f t="shared" si="23"/>
        <v>103.33900138801145</v>
      </c>
      <c r="S88" s="156"/>
      <c r="T88" s="157"/>
      <c r="U88" s="158"/>
    </row>
    <row r="89" spans="1:21" ht="30" customHeight="1" thickBot="1" x14ac:dyDescent="0.3">
      <c r="A89" s="104"/>
      <c r="B89" s="103" t="str">
        <f>IFERROR(($B$10-#REF!), "")</f>
        <v/>
      </c>
      <c r="C89" s="103" t="str">
        <f>IFERROR(($B$10-#REF!), "")</f>
        <v/>
      </c>
      <c r="D89" s="103" t="str">
        <f>IFERROR(($B$10-#REF!), "")</f>
        <v/>
      </c>
      <c r="E89" s="103" t="str">
        <f>IFERROR(($B$10-#REF!), "")</f>
        <v/>
      </c>
      <c r="F89" s="103" t="str">
        <f>IFERROR(($B$10-#REF!), "")</f>
        <v/>
      </c>
      <c r="G89" s="103" t="str">
        <f>IFERROR(($B$10-#REF!), "")</f>
        <v/>
      </c>
      <c r="H89" s="103" t="str">
        <f>IFERROR(($B$10-#REF!), "")</f>
        <v/>
      </c>
      <c r="I89" s="103" t="str">
        <f>IFERROR(($B$10-#REF!), "")</f>
        <v/>
      </c>
      <c r="J89" s="103" t="str">
        <f>IFERROR(($B$10-#REF!), "")</f>
        <v/>
      </c>
      <c r="K89" s="103" t="str">
        <f>IFERROR(($B$10-#REF!), "")</f>
        <v/>
      </c>
      <c r="L89" s="103" t="str">
        <f>IFERROR(($B$10-#REF!), "")</f>
        <v/>
      </c>
      <c r="M89" s="103" t="str">
        <f>IFERROR(($B$10-#REF!), "")</f>
        <v/>
      </c>
      <c r="N89" s="106" t="str">
        <f>IFERROR((AVERAGE(B89:M89)), "")</f>
        <v/>
      </c>
      <c r="O89" s="103" t="str">
        <f>IFERROR((STDEV(B89:M89)), "")</f>
        <v/>
      </c>
      <c r="P89" s="102" t="str">
        <f t="shared" si="19"/>
        <v/>
      </c>
      <c r="Q89" s="106"/>
      <c r="R89" s="109"/>
      <c r="S89" s="273"/>
      <c r="T89" s="274"/>
      <c r="U89" s="275"/>
    </row>
    <row r="90" spans="1:21" ht="24.95" customHeight="1" thickBot="1" x14ac:dyDescent="0.3">
      <c r="A90" s="276" t="s">
        <v>66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8"/>
      <c r="T90" s="279"/>
      <c r="U90" s="280"/>
    </row>
    <row r="91" spans="1:21" ht="9.9499999999999993" customHeight="1" x14ac:dyDescent="0.25">
      <c r="A91" s="6"/>
      <c r="B91" s="6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21" ht="15" customHeight="1" x14ac:dyDescent="0.25">
      <c r="A92" s="269" t="s">
        <v>114</v>
      </c>
      <c r="B92" s="269" t="s">
        <v>116</v>
      </c>
      <c r="C92" s="269"/>
      <c r="J92" s="269" t="s">
        <v>115</v>
      </c>
      <c r="K92" s="269" t="s">
        <v>116</v>
      </c>
      <c r="L92" s="269"/>
      <c r="M92" s="269"/>
    </row>
    <row r="93" spans="1:21" ht="15" customHeight="1" x14ac:dyDescent="0.25">
      <c r="A93" s="269"/>
      <c r="B93" s="269"/>
      <c r="C93" s="269"/>
      <c r="H93" s="1" t="s">
        <v>116</v>
      </c>
      <c r="J93" s="269"/>
      <c r="K93" s="269"/>
      <c r="L93" s="269"/>
      <c r="M93" s="269"/>
    </row>
    <row r="94" spans="1:21" ht="15" customHeight="1" x14ac:dyDescent="0.25">
      <c r="A94" s="269"/>
      <c r="B94" s="269"/>
      <c r="C94" s="269"/>
      <c r="D94" s="4"/>
      <c r="E94" s="4"/>
      <c r="F94" s="4"/>
      <c r="G94" s="4"/>
      <c r="H94" s="4"/>
      <c r="I94" s="4"/>
      <c r="J94" s="269"/>
      <c r="K94" s="269"/>
      <c r="L94" s="269"/>
      <c r="M94" s="269"/>
    </row>
    <row r="95" spans="1:21" ht="15" customHeight="1" x14ac:dyDescent="0.25">
      <c r="A95" s="269"/>
      <c r="B95" s="269"/>
      <c r="C95" s="269"/>
      <c r="D95" s="7"/>
      <c r="E95" s="7"/>
      <c r="F95" s="5"/>
      <c r="G95" s="5"/>
      <c r="H95" s="5"/>
      <c r="I95" s="5"/>
      <c r="J95" s="269"/>
      <c r="K95" s="269"/>
      <c r="L95" s="269"/>
      <c r="M95" s="269"/>
    </row>
    <row r="96" spans="1:21" ht="15" customHeight="1" x14ac:dyDescent="0.25">
      <c r="A96" s="4"/>
      <c r="B96" s="4"/>
      <c r="C96" s="7"/>
      <c r="D96" s="7"/>
      <c r="E96" s="7"/>
      <c r="F96" s="8"/>
      <c r="G96" s="9"/>
      <c r="H96" s="9"/>
      <c r="I96" s="5"/>
    </row>
    <row r="97" spans="1:9" ht="15" customHeight="1" x14ac:dyDescent="0.2">
      <c r="A97" s="4"/>
      <c r="B97" s="4"/>
      <c r="C97" s="7"/>
      <c r="D97" s="7"/>
      <c r="E97" s="7"/>
      <c r="F97" s="10"/>
      <c r="G97" s="9"/>
      <c r="H97" s="9"/>
      <c r="I97" s="5"/>
    </row>
    <row r="98" spans="1:9" ht="15" customHeight="1" x14ac:dyDescent="0.2">
      <c r="A98" s="4"/>
      <c r="B98" s="4"/>
      <c r="C98" s="7"/>
      <c r="D98" s="7"/>
      <c r="E98" s="7"/>
      <c r="F98" s="11"/>
      <c r="G98" s="12"/>
      <c r="H98" s="9"/>
      <c r="I98" s="5"/>
    </row>
    <row r="99" spans="1:9" ht="15" customHeight="1" x14ac:dyDescent="0.2">
      <c r="A99" s="4"/>
      <c r="B99" s="4"/>
      <c r="C99" s="7"/>
      <c r="D99" s="7"/>
      <c r="E99" s="7"/>
      <c r="F99" s="11"/>
      <c r="G99" s="12"/>
      <c r="H99" s="9"/>
      <c r="I99" s="5"/>
    </row>
    <row r="100" spans="1:9" ht="15" customHeight="1" x14ac:dyDescent="0.2">
      <c r="A100" s="4"/>
      <c r="B100" s="4"/>
      <c r="C100" s="7"/>
      <c r="D100" s="7"/>
      <c r="E100" s="7"/>
      <c r="F100" s="11"/>
      <c r="G100" s="12"/>
      <c r="H100" s="9"/>
      <c r="I100" s="5"/>
    </row>
    <row r="101" spans="1:9" ht="15" customHeight="1" x14ac:dyDescent="0.2">
      <c r="A101" s="4"/>
      <c r="B101" s="4"/>
      <c r="C101" s="7"/>
      <c r="D101" s="7"/>
      <c r="E101" s="7"/>
      <c r="F101" s="11"/>
      <c r="G101" s="12"/>
      <c r="H101" s="9"/>
      <c r="I101" s="5"/>
    </row>
    <row r="102" spans="1:9" ht="15" customHeight="1" x14ac:dyDescent="0.2">
      <c r="A102" s="4"/>
      <c r="B102" s="4"/>
      <c r="C102" s="4"/>
      <c r="D102" s="4"/>
      <c r="E102" s="4"/>
      <c r="F102" s="13"/>
      <c r="G102" s="9"/>
      <c r="H102" s="9"/>
      <c r="I102" s="4"/>
    </row>
    <row r="103" spans="1:9" ht="15" customHeight="1" x14ac:dyDescent="0.2">
      <c r="A103" s="4"/>
      <c r="B103" s="4"/>
      <c r="C103" s="4"/>
      <c r="D103" s="4"/>
      <c r="E103" s="4"/>
      <c r="F103" s="14"/>
      <c r="G103" s="15"/>
      <c r="H103" s="11"/>
      <c r="I103" s="4"/>
    </row>
    <row r="104" spans="1:9" ht="15" customHeight="1" x14ac:dyDescent="0.2">
      <c r="A104" s="4"/>
      <c r="B104" s="4"/>
      <c r="C104" s="4"/>
      <c r="D104" s="4"/>
      <c r="E104" s="4"/>
      <c r="F104" s="13"/>
      <c r="G104" s="9"/>
      <c r="H104" s="9"/>
      <c r="I104" s="4"/>
    </row>
    <row r="105" spans="1:9" ht="15" customHeight="1" x14ac:dyDescent="0.2">
      <c r="F105" s="13"/>
      <c r="G105" s="9"/>
      <c r="H105" s="9"/>
    </row>
    <row r="106" spans="1:9" ht="15" customHeight="1" x14ac:dyDescent="0.2">
      <c r="F106" s="13"/>
      <c r="G106" s="9"/>
      <c r="H106" s="9"/>
    </row>
    <row r="107" spans="1:9" ht="15" customHeight="1" x14ac:dyDescent="0.2">
      <c r="F107" s="13"/>
      <c r="G107" s="9"/>
      <c r="H107" s="9"/>
    </row>
  </sheetData>
  <sheetProtection formatCells="0"/>
  <mergeCells count="89">
    <mergeCell ref="A92:A95"/>
    <mergeCell ref="B92:C95"/>
    <mergeCell ref="J92:J95"/>
    <mergeCell ref="K92:M95"/>
    <mergeCell ref="S77:U77"/>
    <mergeCell ref="S78:U78"/>
    <mergeCell ref="S79:U79"/>
    <mergeCell ref="S89:U89"/>
    <mergeCell ref="A90:R90"/>
    <mergeCell ref="S90:U90"/>
    <mergeCell ref="S76:U76"/>
    <mergeCell ref="P37:R37"/>
    <mergeCell ref="Q38:R38"/>
    <mergeCell ref="A39:M39"/>
    <mergeCell ref="N40:P41"/>
    <mergeCell ref="A45:M45"/>
    <mergeCell ref="N48:P48"/>
    <mergeCell ref="N49:P49"/>
    <mergeCell ref="O51:P51"/>
    <mergeCell ref="O52:P52"/>
    <mergeCell ref="A60:L60"/>
    <mergeCell ref="A75:L75"/>
    <mergeCell ref="M34:N34"/>
    <mergeCell ref="O34:P34"/>
    <mergeCell ref="B35:C35"/>
    <mergeCell ref="D35:E35"/>
    <mergeCell ref="F35:G35"/>
    <mergeCell ref="H35:I35"/>
    <mergeCell ref="J35:K35"/>
    <mergeCell ref="M35:N35"/>
    <mergeCell ref="O35:P35"/>
    <mergeCell ref="J34:K34"/>
    <mergeCell ref="A34:A35"/>
    <mergeCell ref="B34:C34"/>
    <mergeCell ref="D34:E34"/>
    <mergeCell ref="F34:G34"/>
    <mergeCell ref="H34:I34"/>
    <mergeCell ref="A30:N30"/>
    <mergeCell ref="O30:P30"/>
    <mergeCell ref="A31:N31"/>
    <mergeCell ref="O31:P31"/>
    <mergeCell ref="A32:N32"/>
    <mergeCell ref="O32:P32"/>
    <mergeCell ref="A27:N27"/>
    <mergeCell ref="O27:P27"/>
    <mergeCell ref="A28:N28"/>
    <mergeCell ref="O28:P28"/>
    <mergeCell ref="A29:N29"/>
    <mergeCell ref="O29:P29"/>
    <mergeCell ref="N17:N18"/>
    <mergeCell ref="O17:P17"/>
    <mergeCell ref="A18:A25"/>
    <mergeCell ref="H19:H25"/>
    <mergeCell ref="I19:I25"/>
    <mergeCell ref="N25:O26"/>
    <mergeCell ref="P25:P26"/>
    <mergeCell ref="A15:A16"/>
    <mergeCell ref="K15:L15"/>
    <mergeCell ref="N15:O15"/>
    <mergeCell ref="Q15:R15"/>
    <mergeCell ref="K16:L16"/>
    <mergeCell ref="N16:O16"/>
    <mergeCell ref="Q16:R16"/>
    <mergeCell ref="N11:Q11"/>
    <mergeCell ref="A12:A13"/>
    <mergeCell ref="B12:B13"/>
    <mergeCell ref="D12:O12"/>
    <mergeCell ref="P12:Q12"/>
    <mergeCell ref="N13:O13"/>
    <mergeCell ref="P13:Q13"/>
    <mergeCell ref="J8:K10"/>
    <mergeCell ref="L8:Q10"/>
    <mergeCell ref="B9:D9"/>
    <mergeCell ref="F9:H9"/>
    <mergeCell ref="B10:D10"/>
    <mergeCell ref="F10:H10"/>
    <mergeCell ref="B5:H5"/>
    <mergeCell ref="N5:Q5"/>
    <mergeCell ref="B6:H6"/>
    <mergeCell ref="N6:Q6"/>
    <mergeCell ref="B7:H7"/>
    <mergeCell ref="N7:Q7"/>
    <mergeCell ref="B4:H4"/>
    <mergeCell ref="N4:Q4"/>
    <mergeCell ref="A1:Q1"/>
    <mergeCell ref="A2:A3"/>
    <mergeCell ref="B2:H3"/>
    <mergeCell ref="K2:R2"/>
    <mergeCell ref="K3:R3"/>
  </mergeCells>
  <printOptions horizontalCentered="1" verticalCentered="1"/>
  <pageMargins left="0" right="0" top="0" bottom="0" header="0" footer="0"/>
  <pageSetup paperSize="9" scale="41" fitToHeight="0" orientation="landscape" copies="2" r:id="rId1"/>
  <headerFooter alignWithMargins="0"/>
  <rowBreaks count="1" manualBreakCount="1">
    <brk id="3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Mandar</dc:creator>
  <cp:lastModifiedBy>Kakkad, Krunalben</cp:lastModifiedBy>
  <cp:lastPrinted>2026-06-22T11:06:50Z</cp:lastPrinted>
  <dcterms:created xsi:type="dcterms:W3CDTF">2019-01-24T10:04:14Z</dcterms:created>
  <dcterms:modified xsi:type="dcterms:W3CDTF">2026-06-24T06:24:41Z</dcterms:modified>
</cp:coreProperties>
</file>