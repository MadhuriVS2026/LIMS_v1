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31.104.15\Analytical\Master exel sheet\New Calc Sheet R&amp;D_Ahmedabad_Effective from Feb-2025\Routine Analysis\"/>
    </mc:Choice>
  </mc:AlternateContent>
  <bookViews>
    <workbookView xWindow="0" yWindow="0" windowWidth="28800" windowHeight="12210"/>
  </bookViews>
  <sheets>
    <sheet name="RS" sheetId="11" r:id="rId1"/>
  </sheets>
  <definedNames>
    <definedName name="_xlnm.Print_Area" localSheetId="0">RS!$A$1:$H$81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11" l="1"/>
  <c r="G31" i="11"/>
  <c r="G32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30" i="11"/>
  <c r="E74" i="11" l="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C25" i="11"/>
  <c r="G75" i="11" l="1"/>
  <c r="G76" i="11"/>
</calcChain>
</file>

<file path=xl/sharedStrings.xml><?xml version="1.0" encoding="utf-8"?>
<sst xmlns="http://schemas.openxmlformats.org/spreadsheetml/2006/main" count="86" uniqueCount="81">
  <si>
    <t>Date</t>
  </si>
  <si>
    <t>RT</t>
  </si>
  <si>
    <t>Single Max Impurity</t>
  </si>
  <si>
    <t xml:space="preserve">%Total Impurities </t>
  </si>
  <si>
    <t>RRT</t>
  </si>
  <si>
    <t xml:space="preserve"> Analytical Development </t>
  </si>
  <si>
    <t>Batch No.</t>
  </si>
  <si>
    <t>Av. Wt. (mg)</t>
  </si>
  <si>
    <t>Sample wt (mg)</t>
  </si>
  <si>
    <t xml:space="preserve">Area </t>
  </si>
  <si>
    <t>Related Substance (By Area Normalization)</t>
  </si>
  <si>
    <t>Date of Analysis</t>
  </si>
  <si>
    <t>Main Peak Area in Test solution</t>
  </si>
  <si>
    <t>Total Area</t>
  </si>
  <si>
    <t>Main Peak RT</t>
  </si>
  <si>
    <t>Analysed By</t>
  </si>
  <si>
    <t>Checked By</t>
  </si>
  <si>
    <t>Impurity Name</t>
  </si>
  <si>
    <t>% Impurity</t>
  </si>
  <si>
    <t>mL</t>
  </si>
  <si>
    <t>Emcure</t>
  </si>
  <si>
    <t>RRF</t>
  </si>
  <si>
    <t>TRF No.</t>
  </si>
  <si>
    <t>AR No.</t>
  </si>
  <si>
    <t>Generic Name</t>
  </si>
  <si>
    <t>Product Name</t>
  </si>
  <si>
    <t>Analysis as per</t>
  </si>
  <si>
    <t>Test</t>
  </si>
  <si>
    <t>Instrument Id.</t>
  </si>
  <si>
    <t>Label Claim</t>
  </si>
  <si>
    <t>Related Substance</t>
  </si>
  <si>
    <t>Condition</t>
  </si>
  <si>
    <t>Unknown -24</t>
  </si>
  <si>
    <t>Unknown -25</t>
  </si>
  <si>
    <t>Unknown -26</t>
  </si>
  <si>
    <t>Unknown -27</t>
  </si>
  <si>
    <t>Unknown -28</t>
  </si>
  <si>
    <t>Unknown -29</t>
  </si>
  <si>
    <t>Unknown -30</t>
  </si>
  <si>
    <t>Unknown -31</t>
  </si>
  <si>
    <t>Unknown -32</t>
  </si>
  <si>
    <t>Unknown -33</t>
  </si>
  <si>
    <t>Unknown -34</t>
  </si>
  <si>
    <t>Unknown -35</t>
  </si>
  <si>
    <t>Unknown -36</t>
  </si>
  <si>
    <t>Unknown -37</t>
  </si>
  <si>
    <t>Unknown -38</t>
  </si>
  <si>
    <t>Unknown -39</t>
  </si>
  <si>
    <t>Unknown -40</t>
  </si>
  <si>
    <t>R&amp;D Ahmedabad</t>
  </si>
  <si>
    <t>Pemetrexed For Injection 500mg base/vial</t>
  </si>
  <si>
    <t>500mg/vial</t>
  </si>
  <si>
    <t>AD/TATP/389/01</t>
  </si>
  <si>
    <t>Ketopemetrexed</t>
  </si>
  <si>
    <t>Pemetrexed R-Dimer</t>
  </si>
  <si>
    <t>Pemetrexed S-Dimer</t>
  </si>
  <si>
    <t>Unknown -1</t>
  </si>
  <si>
    <t>Unknown -2</t>
  </si>
  <si>
    <t>Unknown -3</t>
  </si>
  <si>
    <t>Unknown -4</t>
  </si>
  <si>
    <t>Unknown -5</t>
  </si>
  <si>
    <t>Unknown -6</t>
  </si>
  <si>
    <t>Unknown -7</t>
  </si>
  <si>
    <t>Unknown -8</t>
  </si>
  <si>
    <t>Unknown -9</t>
  </si>
  <si>
    <t>Unknown -10</t>
  </si>
  <si>
    <t>Unknown -11</t>
  </si>
  <si>
    <t>Unknown -12</t>
  </si>
  <si>
    <t>Unknown -13</t>
  </si>
  <si>
    <t>Unknown -14</t>
  </si>
  <si>
    <t>Unknown -15</t>
  </si>
  <si>
    <t>Unknown -16</t>
  </si>
  <si>
    <t>Unknown -17</t>
  </si>
  <si>
    <t>Unknown -18</t>
  </si>
  <si>
    <t>Unknown -19</t>
  </si>
  <si>
    <t>Unknown -20</t>
  </si>
  <si>
    <t>Unknown -21</t>
  </si>
  <si>
    <t>Unknown -22</t>
  </si>
  <si>
    <t>Unknown -23</t>
  </si>
  <si>
    <t>Unknown -41</t>
  </si>
  <si>
    <t>Unknown 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</si>
</sst>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FF0000"/>
      <name val="Arial"/>
      <family val="2"/>
    </font>
    <font>
      <b/>
      <sz val="11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DD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 applyBorder="1" applyAlignment="1" applyProtection="1"/>
    <xf numFmtId="0" fontId="1" fillId="0" borderId="0" xfId="0" applyFont="1" applyProtection="1"/>
    <xf numFmtId="0" fontId="1" fillId="0" borderId="0" xfId="0" applyFont="1" applyBorder="1" applyAlignment="1" applyProtection="1"/>
    <xf numFmtId="0" fontId="1" fillId="0" borderId="0" xfId="0" applyFont="1" applyBorder="1" applyProtection="1"/>
    <xf numFmtId="15" fontId="1" fillId="0" borderId="0" xfId="0" applyNumberFormat="1" applyFont="1" applyBorder="1" applyAlignment="1" applyProtection="1"/>
    <xf numFmtId="0" fontId="1" fillId="0" borderId="6" xfId="0" applyFont="1" applyBorder="1" applyProtection="1"/>
    <xf numFmtId="0" fontId="1" fillId="0" borderId="5" xfId="0" applyFont="1" applyBorder="1" applyProtection="1"/>
    <xf numFmtId="0" fontId="1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/>
    <xf numFmtId="0" fontId="2" fillId="0" borderId="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164" fontId="1" fillId="0" borderId="6" xfId="0" applyNumberFormat="1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right"/>
    </xf>
    <xf numFmtId="0" fontId="2" fillId="0" borderId="9" xfId="0" applyFont="1" applyBorder="1" applyAlignment="1" applyProtection="1">
      <alignment horizontal="right"/>
    </xf>
    <xf numFmtId="164" fontId="1" fillId="0" borderId="10" xfId="0" applyNumberFormat="1" applyFont="1" applyBorder="1" applyAlignment="1" applyProtection="1">
      <alignment horizontal="center"/>
    </xf>
    <xf numFmtId="2" fontId="1" fillId="2" borderId="7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2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Protection="1"/>
    <xf numFmtId="0" fontId="5" fillId="0" borderId="1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7" xfId="0" applyFont="1" applyFill="1" applyBorder="1" applyAlignment="1" applyProtection="1">
      <alignment vertical="center"/>
    </xf>
    <xf numFmtId="0" fontId="5" fillId="0" borderId="7" xfId="0" applyFont="1" applyFill="1" applyBorder="1" applyAlignment="1" applyProtection="1">
      <alignment horizontal="left" vertical="center"/>
    </xf>
    <xf numFmtId="0" fontId="5" fillId="0" borderId="7" xfId="0" applyFont="1" applyFill="1" applyBorder="1" applyAlignment="1" applyProtection="1">
      <alignment horizontal="center" vertical="center"/>
    </xf>
    <xf numFmtId="0" fontId="5" fillId="0" borderId="8" xfId="0" applyFont="1" applyFill="1" applyBorder="1" applyAlignment="1" applyProtection="1">
      <alignment horizontal="center" vertical="center"/>
    </xf>
    <xf numFmtId="164" fontId="1" fillId="2" borderId="7" xfId="0" applyNumberFormat="1" applyFont="1" applyFill="1" applyBorder="1" applyAlignment="1" applyProtection="1">
      <alignment horizontal="left" vertical="center"/>
      <protection locked="0"/>
    </xf>
    <xf numFmtId="1" fontId="1" fillId="3" borderId="1" xfId="0" applyNumberFormat="1" applyFont="1" applyFill="1" applyBorder="1" applyAlignment="1" applyProtection="1">
      <alignment horizontal="center"/>
    </xf>
    <xf numFmtId="164" fontId="1" fillId="2" borderId="1" xfId="0" applyNumberFormat="1" applyFont="1" applyFill="1" applyBorder="1" applyAlignment="1" applyProtection="1">
      <alignment horizontal="center"/>
      <protection locked="0"/>
    </xf>
    <xf numFmtId="164" fontId="2" fillId="0" borderId="8" xfId="0" applyNumberFormat="1" applyFont="1" applyBorder="1" applyAlignment="1" applyProtection="1">
      <alignment horizontal="center"/>
    </xf>
    <xf numFmtId="164" fontId="2" fillId="2" borderId="7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center"/>
    </xf>
    <xf numFmtId="2" fontId="1" fillId="0" borderId="1" xfId="0" applyNumberFormat="1" applyFont="1" applyBorder="1" applyAlignment="1" applyProtection="1">
      <alignment horizontal="center"/>
    </xf>
    <xf numFmtId="164" fontId="2" fillId="4" borderId="8" xfId="0" applyNumberFormat="1" applyFont="1" applyFill="1" applyBorder="1" applyAlignment="1" applyProtection="1">
      <alignment horizontal="center"/>
    </xf>
    <xf numFmtId="164" fontId="2" fillId="5" borderId="8" xfId="0" applyNumberFormat="1" applyFont="1" applyFill="1" applyBorder="1" applyAlignment="1" applyProtection="1">
      <alignment horizontal="center"/>
    </xf>
    <xf numFmtId="164" fontId="2" fillId="0" borderId="8" xfId="0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8" xfId="0" applyFont="1" applyFill="1" applyBorder="1" applyAlignment="1" applyProtection="1">
      <alignment horizontal="left"/>
      <protection locked="0"/>
    </xf>
    <xf numFmtId="15" fontId="1" fillId="2" borderId="1" xfId="0" applyNumberFormat="1" applyFont="1" applyFill="1" applyBorder="1" applyAlignment="1" applyProtection="1">
      <alignment horizontal="left"/>
      <protection locked="0"/>
    </xf>
    <xf numFmtId="15" fontId="1" fillId="2" borderId="8" xfId="0" applyNumberFormat="1" applyFont="1" applyFill="1" applyBorder="1" applyAlignment="1" applyProtection="1">
      <alignment horizontal="left"/>
      <protection locked="0"/>
    </xf>
    <xf numFmtId="15" fontId="1" fillId="2" borderId="1" xfId="0" quotePrefix="1" applyNumberFormat="1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2" borderId="8" xfId="0" applyFont="1" applyFill="1" applyBorder="1" applyAlignment="1" applyProtection="1">
      <alignment horizontal="left" vertical="top"/>
      <protection locked="0"/>
    </xf>
    <xf numFmtId="0" fontId="2" fillId="0" borderId="7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2" fillId="0" borderId="8" xfId="0" applyFont="1" applyBorder="1" applyAlignment="1" applyProtection="1">
      <alignment horizontal="center"/>
    </xf>
    <xf numFmtId="2" fontId="1" fillId="0" borderId="7" xfId="0" applyNumberFormat="1" applyFont="1" applyBorder="1" applyAlignment="1" applyProtection="1">
      <alignment horizontal="center"/>
    </xf>
    <xf numFmtId="2" fontId="1" fillId="0" borderId="1" xfId="0" applyNumberFormat="1" applyFont="1" applyBorder="1" applyAlignment="1" applyProtection="1">
      <alignment horizontal="center"/>
    </xf>
    <xf numFmtId="2" fontId="1" fillId="0" borderId="8" xfId="0" applyNumberFormat="1" applyFont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center" vertical="center"/>
    </xf>
    <xf numFmtId="0" fontId="5" fillId="0" borderId="13" xfId="0" applyFont="1" applyFill="1" applyBorder="1" applyAlignment="1" applyProtection="1">
      <alignment horizontal="center" vertical="center"/>
    </xf>
    <xf numFmtId="0" fontId="5" fillId="0" borderId="14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/>
    </xf>
    <xf numFmtId="0" fontId="4" fillId="0" borderId="3" xfId="0" applyFont="1" applyFill="1" applyBorder="1" applyAlignment="1" applyProtection="1">
      <alignment horizontal="center"/>
    </xf>
    <xf numFmtId="0" fontId="4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left"/>
      <protection locked="0"/>
    </xf>
    <xf numFmtId="0" fontId="1" fillId="2" borderId="13" xfId="0" applyFont="1" applyFill="1" applyBorder="1" applyAlignment="1" applyProtection="1">
      <alignment horizontal="left"/>
      <protection locked="0"/>
    </xf>
    <xf numFmtId="0" fontId="1" fillId="2" borderId="16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80"/>
  <sheetViews>
    <sheetView tabSelected="1" view="pageBreakPreview" zoomScaleNormal="85" zoomScaleSheetLayoutView="100" workbookViewId="0">
      <selection activeCell="C18" sqref="C18:G18"/>
    </sheetView>
  </sheetViews>
  <sheetFormatPr defaultColWidth="9.140625" defaultRowHeight="14.25" x14ac:dyDescent="0.2"/>
  <cols>
    <col min="1" max="1" width="9.140625" style="2"/>
    <col min="2" max="2" width="38" style="2" customWidth="1"/>
    <col min="3" max="3" width="17.140625" style="2" customWidth="1"/>
    <col min="4" max="4" width="14" style="2" customWidth="1"/>
    <col min="5" max="6" width="13.42578125" style="2" customWidth="1"/>
    <col min="7" max="7" width="15.42578125" style="2" customWidth="1"/>
    <col min="8" max="8" width="9.85546875" style="2" bestFit="1" customWidth="1"/>
    <col min="9" max="16384" width="9.140625" style="2"/>
  </cols>
  <sheetData>
    <row r="1" spans="2:12" ht="15" thickBot="1" x14ac:dyDescent="0.25"/>
    <row r="2" spans="2:12" ht="20.25" customHeight="1" x14ac:dyDescent="0.3">
      <c r="B2" s="56" t="s">
        <v>20</v>
      </c>
      <c r="C2" s="57"/>
      <c r="D2" s="57"/>
      <c r="E2" s="57"/>
      <c r="F2" s="57"/>
      <c r="G2" s="58"/>
    </row>
    <row r="3" spans="2:12" ht="15" x14ac:dyDescent="0.2">
      <c r="B3" s="59" t="s">
        <v>49</v>
      </c>
      <c r="C3" s="60"/>
      <c r="D3" s="60"/>
      <c r="E3" s="60"/>
      <c r="F3" s="60"/>
      <c r="G3" s="61"/>
    </row>
    <row r="4" spans="2:12" ht="15" x14ac:dyDescent="0.2">
      <c r="B4" s="59" t="s">
        <v>5</v>
      </c>
      <c r="C4" s="60"/>
      <c r="D4" s="60"/>
      <c r="E4" s="60"/>
      <c r="F4" s="60"/>
      <c r="G4" s="61"/>
    </row>
    <row r="5" spans="2:12" ht="15.75" x14ac:dyDescent="0.25">
      <c r="B5" s="62" t="s">
        <v>10</v>
      </c>
      <c r="C5" s="63"/>
      <c r="D5" s="63"/>
      <c r="E5" s="63"/>
      <c r="F5" s="63"/>
      <c r="G5" s="64"/>
      <c r="H5" s="1"/>
      <c r="I5" s="1"/>
      <c r="J5" s="1"/>
      <c r="K5" s="1"/>
      <c r="L5" s="1"/>
    </row>
    <row r="6" spans="2:12" x14ac:dyDescent="0.2">
      <c r="B6" s="65"/>
      <c r="C6" s="66"/>
      <c r="D6" s="66"/>
      <c r="E6" s="66"/>
      <c r="F6" s="67"/>
      <c r="G6" s="68"/>
    </row>
    <row r="7" spans="2:12" ht="15" x14ac:dyDescent="0.2">
      <c r="B7" s="24" t="s">
        <v>24</v>
      </c>
      <c r="C7" s="40" t="s">
        <v>50</v>
      </c>
      <c r="D7" s="40"/>
      <c r="E7" s="40"/>
      <c r="F7" s="40"/>
      <c r="G7" s="41"/>
      <c r="H7" s="4"/>
      <c r="I7" s="3"/>
      <c r="J7" s="4"/>
    </row>
    <row r="8" spans="2:12" ht="15" x14ac:dyDescent="0.2">
      <c r="B8" s="24" t="s">
        <v>25</v>
      </c>
      <c r="C8" s="40" t="s">
        <v>50</v>
      </c>
      <c r="D8" s="40"/>
      <c r="E8" s="40"/>
      <c r="F8" s="40"/>
      <c r="G8" s="41"/>
      <c r="H8" s="4"/>
      <c r="I8" s="5"/>
      <c r="J8" s="4"/>
    </row>
    <row r="9" spans="2:12" ht="15" x14ac:dyDescent="0.2">
      <c r="B9" s="24" t="s">
        <v>29</v>
      </c>
      <c r="C9" s="69" t="s">
        <v>51</v>
      </c>
      <c r="D9" s="70"/>
      <c r="E9" s="70"/>
      <c r="F9" s="70"/>
      <c r="G9" s="71"/>
      <c r="H9" s="4"/>
      <c r="I9" s="4"/>
      <c r="J9" s="4"/>
    </row>
    <row r="10" spans="2:12" ht="15" x14ac:dyDescent="0.2">
      <c r="B10" s="24" t="s">
        <v>22</v>
      </c>
      <c r="C10" s="40"/>
      <c r="D10" s="40"/>
      <c r="E10" s="40"/>
      <c r="F10" s="40"/>
      <c r="G10" s="41"/>
      <c r="H10" s="4"/>
      <c r="I10" s="4"/>
      <c r="J10" s="4"/>
    </row>
    <row r="11" spans="2:12" ht="15" x14ac:dyDescent="0.2">
      <c r="B11" s="24" t="s">
        <v>6</v>
      </c>
      <c r="C11" s="40"/>
      <c r="D11" s="40"/>
      <c r="E11" s="40"/>
      <c r="F11" s="40"/>
      <c r="G11" s="41"/>
      <c r="H11" s="4"/>
      <c r="I11" s="4"/>
      <c r="J11" s="4"/>
    </row>
    <row r="12" spans="2:12" ht="15" x14ac:dyDescent="0.2">
      <c r="B12" s="24" t="s">
        <v>31</v>
      </c>
      <c r="C12" s="40"/>
      <c r="D12" s="40"/>
      <c r="E12" s="40"/>
      <c r="F12" s="40"/>
      <c r="G12" s="41"/>
      <c r="H12" s="4"/>
      <c r="I12" s="4"/>
      <c r="J12" s="4"/>
    </row>
    <row r="13" spans="2:12" ht="15" x14ac:dyDescent="0.2">
      <c r="B13" s="24" t="s">
        <v>23</v>
      </c>
      <c r="C13" s="40"/>
      <c r="D13" s="40"/>
      <c r="E13" s="40"/>
      <c r="F13" s="40"/>
      <c r="G13" s="41"/>
      <c r="H13" s="4"/>
      <c r="I13" s="4"/>
      <c r="J13" s="4"/>
    </row>
    <row r="14" spans="2:12" ht="15" x14ac:dyDescent="0.2">
      <c r="B14" s="25" t="s">
        <v>26</v>
      </c>
      <c r="C14" s="40" t="s">
        <v>52</v>
      </c>
      <c r="D14" s="40"/>
      <c r="E14" s="40"/>
      <c r="F14" s="40"/>
      <c r="G14" s="41"/>
    </row>
    <row r="15" spans="2:12" ht="15" x14ac:dyDescent="0.2">
      <c r="B15" s="24" t="s">
        <v>27</v>
      </c>
      <c r="C15" s="42" t="s">
        <v>30</v>
      </c>
      <c r="D15" s="42"/>
      <c r="E15" s="42"/>
      <c r="F15" s="42"/>
      <c r="G15" s="43"/>
    </row>
    <row r="16" spans="2:12" ht="15" x14ac:dyDescent="0.2">
      <c r="B16" s="24" t="s">
        <v>11</v>
      </c>
      <c r="C16" s="44"/>
      <c r="D16" s="42"/>
      <c r="E16" s="42"/>
      <c r="F16" s="42"/>
      <c r="G16" s="43"/>
    </row>
    <row r="17" spans="2:12" ht="15" x14ac:dyDescent="0.2">
      <c r="B17" s="24" t="s">
        <v>15</v>
      </c>
      <c r="C17" s="40"/>
      <c r="D17" s="40"/>
      <c r="E17" s="40"/>
      <c r="F17" s="40"/>
      <c r="G17" s="41"/>
    </row>
    <row r="18" spans="2:12" ht="15" x14ac:dyDescent="0.2">
      <c r="B18" s="24" t="s">
        <v>28</v>
      </c>
      <c r="C18" s="45"/>
      <c r="D18" s="45"/>
      <c r="E18" s="45"/>
      <c r="F18" s="45"/>
      <c r="G18" s="46"/>
    </row>
    <row r="19" spans="2:12" ht="15" x14ac:dyDescent="0.25">
      <c r="B19" s="47"/>
      <c r="C19" s="48"/>
      <c r="D19" s="48"/>
      <c r="E19" s="48"/>
      <c r="F19" s="48"/>
      <c r="G19" s="49"/>
    </row>
    <row r="20" spans="2:12" ht="15" x14ac:dyDescent="0.2">
      <c r="B20" s="26" t="s">
        <v>7</v>
      </c>
      <c r="C20" s="23" t="s">
        <v>8</v>
      </c>
      <c r="D20" s="23" t="s">
        <v>19</v>
      </c>
      <c r="E20" s="23" t="s">
        <v>19</v>
      </c>
      <c r="F20" s="23" t="s">
        <v>19</v>
      </c>
      <c r="G20" s="21"/>
    </row>
    <row r="21" spans="2:12" x14ac:dyDescent="0.2">
      <c r="B21" s="16">
        <v>500</v>
      </c>
      <c r="C21" s="17">
        <v>1</v>
      </c>
      <c r="D21" s="17">
        <v>100</v>
      </c>
      <c r="E21" s="17">
        <v>4</v>
      </c>
      <c r="F21" s="17">
        <v>100</v>
      </c>
      <c r="G21" s="21"/>
    </row>
    <row r="22" spans="2:12" x14ac:dyDescent="0.2">
      <c r="B22" s="50"/>
      <c r="C22" s="51"/>
      <c r="D22" s="51"/>
      <c r="E22" s="51"/>
      <c r="F22" s="51"/>
      <c r="G22" s="52"/>
    </row>
    <row r="23" spans="2:12" ht="15" x14ac:dyDescent="0.2">
      <c r="B23" s="25" t="s">
        <v>12</v>
      </c>
      <c r="C23" s="17">
        <v>11005252</v>
      </c>
      <c r="D23" s="4"/>
      <c r="E23" s="4"/>
      <c r="F23" s="4"/>
      <c r="G23" s="6"/>
    </row>
    <row r="24" spans="2:12" x14ac:dyDescent="0.2">
      <c r="B24" s="7"/>
      <c r="C24" s="8"/>
      <c r="D24" s="4"/>
      <c r="E24" s="4"/>
      <c r="F24" s="4"/>
      <c r="G24" s="6"/>
    </row>
    <row r="25" spans="2:12" ht="15" x14ac:dyDescent="0.2">
      <c r="B25" s="25" t="s">
        <v>13</v>
      </c>
      <c r="C25" s="29">
        <f>SUM(D30:D74)+C23</f>
        <v>11056740</v>
      </c>
      <c r="D25" s="4"/>
      <c r="E25" s="4"/>
      <c r="F25" s="4"/>
      <c r="G25" s="6"/>
    </row>
    <row r="26" spans="2:12" x14ac:dyDescent="0.2">
      <c r="B26" s="7"/>
      <c r="C26" s="8"/>
      <c r="D26" s="4"/>
      <c r="E26" s="4"/>
      <c r="F26" s="4"/>
      <c r="G26" s="6"/>
    </row>
    <row r="27" spans="2:12" ht="15" x14ac:dyDescent="0.2">
      <c r="B27" s="25" t="s">
        <v>14</v>
      </c>
      <c r="C27" s="30">
        <v>23.138000000000002</v>
      </c>
      <c r="D27" s="4"/>
      <c r="E27" s="4"/>
      <c r="F27" s="4"/>
      <c r="G27" s="6"/>
    </row>
    <row r="28" spans="2:12" x14ac:dyDescent="0.2">
      <c r="B28" s="7"/>
      <c r="C28" s="4"/>
      <c r="D28" s="4"/>
      <c r="E28" s="4"/>
      <c r="F28" s="4"/>
      <c r="G28" s="6"/>
      <c r="H28" s="4"/>
      <c r="I28" s="4"/>
      <c r="J28" s="4"/>
      <c r="K28" s="4"/>
      <c r="L28" s="4"/>
    </row>
    <row r="29" spans="2:12" ht="15" x14ac:dyDescent="0.25">
      <c r="B29" s="26" t="s">
        <v>17</v>
      </c>
      <c r="C29" s="23" t="s">
        <v>1</v>
      </c>
      <c r="D29" s="23" t="s">
        <v>9</v>
      </c>
      <c r="E29" s="23" t="s">
        <v>4</v>
      </c>
      <c r="F29" s="23" t="s">
        <v>21</v>
      </c>
      <c r="G29" s="27" t="s">
        <v>18</v>
      </c>
      <c r="H29" s="9"/>
      <c r="I29" s="9"/>
      <c r="J29" s="8"/>
      <c r="K29" s="8"/>
      <c r="L29" s="4"/>
    </row>
    <row r="30" spans="2:12" ht="15" x14ac:dyDescent="0.25">
      <c r="B30" s="32" t="s">
        <v>53</v>
      </c>
      <c r="C30" s="19">
        <v>7.157</v>
      </c>
      <c r="D30" s="18">
        <v>5177</v>
      </c>
      <c r="E30" s="34">
        <f>C30/$C$27</f>
        <v>0.30931800501339785</v>
      </c>
      <c r="F30" s="20">
        <v>0.61</v>
      </c>
      <c r="G30" s="35">
        <f>IFERROR((D30/$C$25*1/F30*100), "")</f>
        <v>7.6757572719460154E-2</v>
      </c>
      <c r="H30" s="9"/>
      <c r="I30" s="9"/>
      <c r="J30" s="8"/>
      <c r="K30" s="8"/>
      <c r="L30" s="4"/>
    </row>
    <row r="31" spans="2:12" ht="15" x14ac:dyDescent="0.25">
      <c r="B31" s="32" t="s">
        <v>54</v>
      </c>
      <c r="C31" s="19">
        <v>14.638999999999999</v>
      </c>
      <c r="D31" s="18">
        <v>5318</v>
      </c>
      <c r="E31" s="34">
        <f>C31/$C$27</f>
        <v>0.63268216786239084</v>
      </c>
      <c r="F31" s="20">
        <v>1</v>
      </c>
      <c r="G31" s="35">
        <f t="shared" ref="G31:G74" si="0">IFERROR((D31/$C$25*1/F31*100), "")</f>
        <v>4.8097359619562366E-2</v>
      </c>
      <c r="H31" s="9"/>
      <c r="I31" s="9"/>
      <c r="J31" s="8"/>
      <c r="K31" s="8"/>
      <c r="L31" s="4"/>
    </row>
    <row r="32" spans="2:12" ht="15" x14ac:dyDescent="0.25">
      <c r="B32" s="32" t="s">
        <v>55</v>
      </c>
      <c r="C32" s="19">
        <v>15.516</v>
      </c>
      <c r="D32" s="18">
        <v>5704</v>
      </c>
      <c r="E32" s="34">
        <f>C32/$C$27</f>
        <v>0.67058518454490446</v>
      </c>
      <c r="F32" s="20">
        <v>1</v>
      </c>
      <c r="G32" s="35">
        <f t="shared" si="0"/>
        <v>5.1588442886420414E-2</v>
      </c>
      <c r="H32" s="9"/>
      <c r="I32" s="9"/>
      <c r="J32" s="8"/>
      <c r="K32" s="8"/>
      <c r="L32" s="4"/>
    </row>
    <row r="33" spans="2:12" ht="15" x14ac:dyDescent="0.25">
      <c r="B33" s="28" t="s">
        <v>56</v>
      </c>
      <c r="C33" s="19">
        <v>2.0219999999999998</v>
      </c>
      <c r="D33" s="18">
        <v>6618</v>
      </c>
      <c r="E33" s="34">
        <f t="shared" ref="E33:E49" si="1">C33/$C$27</f>
        <v>8.7388711210994882E-2</v>
      </c>
      <c r="F33" s="20">
        <v>1</v>
      </c>
      <c r="G33" s="36">
        <f>IFERROR((D33/$C$25*1/F33*100), "")</f>
        <v>5.9854893937996194E-2</v>
      </c>
      <c r="H33" s="33"/>
      <c r="I33" s="33"/>
      <c r="J33" s="8"/>
      <c r="K33" s="8"/>
      <c r="L33" s="4"/>
    </row>
    <row r="34" spans="2:12" ht="15" x14ac:dyDescent="0.25">
      <c r="B34" s="28" t="s">
        <v>57</v>
      </c>
      <c r="C34" s="19">
        <v>2.1</v>
      </c>
      <c r="D34" s="18">
        <v>1070</v>
      </c>
      <c r="E34" s="34">
        <f t="shared" si="1"/>
        <v>9.0759789091537729E-2</v>
      </c>
      <c r="F34" s="20">
        <v>1</v>
      </c>
      <c r="G34" s="36">
        <f t="shared" si="0"/>
        <v>9.6773551697878404E-3</v>
      </c>
      <c r="H34" s="33"/>
      <c r="I34" s="33"/>
      <c r="J34" s="8"/>
      <c r="K34" s="8"/>
      <c r="L34" s="4"/>
    </row>
    <row r="35" spans="2:12" ht="15" x14ac:dyDescent="0.25">
      <c r="B35" s="28" t="s">
        <v>58</v>
      </c>
      <c r="C35" s="19">
        <v>3.3079999999999998</v>
      </c>
      <c r="D35" s="18">
        <v>674</v>
      </c>
      <c r="E35" s="34">
        <f t="shared" si="1"/>
        <v>0.14296827729276512</v>
      </c>
      <c r="F35" s="20">
        <v>1</v>
      </c>
      <c r="G35" s="36">
        <f t="shared" si="0"/>
        <v>6.095829331249537E-3</v>
      </c>
      <c r="H35" s="33"/>
      <c r="I35" s="33"/>
      <c r="J35" s="8"/>
      <c r="K35" s="8"/>
      <c r="L35" s="4"/>
    </row>
    <row r="36" spans="2:12" ht="15" x14ac:dyDescent="0.25">
      <c r="B36" s="28" t="s">
        <v>59</v>
      </c>
      <c r="C36" s="19">
        <v>3.5459999999999998</v>
      </c>
      <c r="D36" s="18">
        <v>700</v>
      </c>
      <c r="E36" s="34">
        <f t="shared" si="1"/>
        <v>0.1532543867231394</v>
      </c>
      <c r="F36" s="20">
        <v>1</v>
      </c>
      <c r="G36" s="36">
        <f t="shared" si="0"/>
        <v>6.3309800176182133E-3</v>
      </c>
      <c r="H36" s="33"/>
      <c r="I36" s="33"/>
      <c r="J36" s="8"/>
      <c r="K36" s="8"/>
      <c r="L36" s="4"/>
    </row>
    <row r="37" spans="2:12" ht="15" x14ac:dyDescent="0.25">
      <c r="B37" s="28" t="s">
        <v>60</v>
      </c>
      <c r="C37" s="19">
        <v>3.698</v>
      </c>
      <c r="D37" s="18">
        <v>498</v>
      </c>
      <c r="E37" s="34">
        <f t="shared" si="1"/>
        <v>0.15982366669547929</v>
      </c>
      <c r="F37" s="20">
        <v>1</v>
      </c>
      <c r="G37" s="36">
        <f t="shared" si="0"/>
        <v>4.5040400696769569E-3</v>
      </c>
      <c r="H37" s="33"/>
      <c r="I37" s="33"/>
      <c r="J37" s="8"/>
      <c r="K37" s="8"/>
      <c r="L37" s="4"/>
    </row>
    <row r="38" spans="2:12" ht="15" x14ac:dyDescent="0.25">
      <c r="B38" s="28" t="s">
        <v>61</v>
      </c>
      <c r="C38" s="19">
        <v>4.0179999999999998</v>
      </c>
      <c r="D38" s="18">
        <v>254</v>
      </c>
      <c r="E38" s="34">
        <f t="shared" si="1"/>
        <v>0.17365372979514218</v>
      </c>
      <c r="F38" s="20">
        <v>1</v>
      </c>
      <c r="G38" s="36">
        <f t="shared" si="0"/>
        <v>2.2972413206786089E-3</v>
      </c>
      <c r="H38" s="33"/>
      <c r="I38" s="33"/>
      <c r="J38" s="8"/>
      <c r="K38" s="8"/>
      <c r="L38" s="4"/>
    </row>
    <row r="39" spans="2:12" ht="15" x14ac:dyDescent="0.25">
      <c r="B39" s="28" t="s">
        <v>62</v>
      </c>
      <c r="C39" s="19">
        <v>5.4770000000000003</v>
      </c>
      <c r="D39" s="18">
        <v>184</v>
      </c>
      <c r="E39" s="34">
        <f t="shared" si="1"/>
        <v>0.23671017374016767</v>
      </c>
      <c r="F39" s="20">
        <v>1</v>
      </c>
      <c r="G39" s="36">
        <f t="shared" si="0"/>
        <v>1.6641433189167874E-3</v>
      </c>
      <c r="H39" s="33"/>
      <c r="I39" s="33"/>
      <c r="J39" s="8"/>
      <c r="K39" s="8"/>
      <c r="L39" s="4"/>
    </row>
    <row r="40" spans="2:12" ht="15" x14ac:dyDescent="0.25">
      <c r="B40" s="28" t="s">
        <v>63</v>
      </c>
      <c r="C40" s="19">
        <v>6.6130000000000004</v>
      </c>
      <c r="D40" s="18">
        <v>673</v>
      </c>
      <c r="E40" s="34">
        <f t="shared" si="1"/>
        <v>0.28580689774397094</v>
      </c>
      <c r="F40" s="20">
        <v>1</v>
      </c>
      <c r="G40" s="36">
        <f t="shared" si="0"/>
        <v>6.0867850740815108E-3</v>
      </c>
      <c r="H40" s="33"/>
      <c r="I40" s="33"/>
      <c r="J40" s="8"/>
      <c r="K40" s="8"/>
      <c r="L40" s="4"/>
    </row>
    <row r="41" spans="2:12" ht="15" x14ac:dyDescent="0.25">
      <c r="B41" s="28" t="s">
        <v>64</v>
      </c>
      <c r="C41" s="19">
        <v>15.917999999999999</v>
      </c>
      <c r="D41" s="18">
        <v>6584</v>
      </c>
      <c r="E41" s="34">
        <f t="shared" si="1"/>
        <v>0.68795920131385591</v>
      </c>
      <c r="F41" s="20">
        <v>1</v>
      </c>
      <c r="G41" s="36">
        <f t="shared" si="0"/>
        <v>5.9547389194283311E-2</v>
      </c>
      <c r="H41" s="33"/>
      <c r="I41" s="33"/>
      <c r="J41" s="8"/>
      <c r="K41" s="8"/>
      <c r="L41" s="4"/>
    </row>
    <row r="42" spans="2:12" ht="15" x14ac:dyDescent="0.25">
      <c r="B42" s="28" t="s">
        <v>65</v>
      </c>
      <c r="C42" s="19">
        <v>18.177</v>
      </c>
      <c r="D42" s="18">
        <v>2918</v>
      </c>
      <c r="E42" s="34">
        <f t="shared" si="1"/>
        <v>0.78559080300803863</v>
      </c>
      <c r="F42" s="20">
        <v>1</v>
      </c>
      <c r="G42" s="36">
        <f t="shared" si="0"/>
        <v>2.6391142416299924E-2</v>
      </c>
      <c r="H42" s="33"/>
      <c r="I42" s="33"/>
      <c r="J42" s="8"/>
      <c r="K42" s="8"/>
      <c r="L42" s="4"/>
    </row>
    <row r="43" spans="2:12" ht="15" x14ac:dyDescent="0.25">
      <c r="B43" s="28" t="s">
        <v>66</v>
      </c>
      <c r="C43" s="19">
        <v>18.236000000000001</v>
      </c>
      <c r="D43" s="18">
        <v>2835</v>
      </c>
      <c r="E43" s="34">
        <f t="shared" si="1"/>
        <v>0.78814072089203902</v>
      </c>
      <c r="F43" s="20">
        <v>1</v>
      </c>
      <c r="G43" s="36">
        <f t="shared" si="0"/>
        <v>2.5640469071353766E-2</v>
      </c>
      <c r="H43" s="33"/>
      <c r="I43" s="33"/>
      <c r="J43" s="8"/>
      <c r="K43" s="8"/>
      <c r="L43" s="4"/>
    </row>
    <row r="44" spans="2:12" ht="15" x14ac:dyDescent="0.25">
      <c r="B44" s="28" t="s">
        <v>67</v>
      </c>
      <c r="C44" s="19">
        <v>19.437000000000001</v>
      </c>
      <c r="D44" s="18">
        <v>4142</v>
      </c>
      <c r="E44" s="34">
        <f t="shared" si="1"/>
        <v>0.84004667646296138</v>
      </c>
      <c r="F44" s="20">
        <v>1</v>
      </c>
      <c r="G44" s="36">
        <f t="shared" si="0"/>
        <v>3.746131318996377E-2</v>
      </c>
      <c r="H44" s="33"/>
      <c r="I44" s="33"/>
      <c r="J44" s="8"/>
      <c r="K44" s="8"/>
      <c r="L44" s="4"/>
    </row>
    <row r="45" spans="2:12" ht="15" x14ac:dyDescent="0.25">
      <c r="B45" s="28" t="s">
        <v>68</v>
      </c>
      <c r="C45" s="19">
        <v>20.577000000000002</v>
      </c>
      <c r="D45" s="18">
        <v>1414</v>
      </c>
      <c r="E45" s="34">
        <f t="shared" si="1"/>
        <v>0.88931627625551046</v>
      </c>
      <c r="F45" s="20">
        <v>1</v>
      </c>
      <c r="G45" s="36">
        <f t="shared" si="0"/>
        <v>1.278857963558879E-2</v>
      </c>
      <c r="H45" s="33"/>
      <c r="I45" s="33"/>
      <c r="J45" s="8"/>
      <c r="K45" s="8"/>
      <c r="L45" s="4"/>
    </row>
    <row r="46" spans="2:12" ht="15" x14ac:dyDescent="0.25">
      <c r="B46" s="28" t="s">
        <v>69</v>
      </c>
      <c r="C46" s="19">
        <v>24.824999999999999</v>
      </c>
      <c r="D46" s="18">
        <v>522</v>
      </c>
      <c r="E46" s="34">
        <f t="shared" si="1"/>
        <v>1.0729103639035351</v>
      </c>
      <c r="F46" s="20">
        <v>1</v>
      </c>
      <c r="G46" s="36">
        <f t="shared" si="0"/>
        <v>4.7211022417095816E-3</v>
      </c>
      <c r="H46" s="33"/>
      <c r="I46" s="33"/>
      <c r="J46" s="8"/>
      <c r="K46" s="8"/>
      <c r="L46" s="4"/>
    </row>
    <row r="47" spans="2:12" ht="15" x14ac:dyDescent="0.25">
      <c r="B47" s="28" t="s">
        <v>70</v>
      </c>
      <c r="C47" s="19">
        <v>27.38</v>
      </c>
      <c r="D47" s="18">
        <v>3011</v>
      </c>
      <c r="E47" s="34">
        <f t="shared" si="1"/>
        <v>1.1833347739649061</v>
      </c>
      <c r="F47" s="20">
        <v>1</v>
      </c>
      <c r="G47" s="36">
        <f t="shared" si="0"/>
        <v>2.7232258332926338E-2</v>
      </c>
      <c r="H47" s="33"/>
      <c r="I47" s="33"/>
      <c r="J47" s="8"/>
      <c r="K47" s="8"/>
      <c r="L47" s="4"/>
    </row>
    <row r="48" spans="2:12" ht="15" x14ac:dyDescent="0.25">
      <c r="B48" s="28" t="s">
        <v>71</v>
      </c>
      <c r="C48" s="19">
        <v>29.184000000000001</v>
      </c>
      <c r="D48" s="18">
        <v>925</v>
      </c>
      <c r="E48" s="34">
        <f t="shared" si="1"/>
        <v>1.2613017546892558</v>
      </c>
      <c r="F48" s="20">
        <v>1</v>
      </c>
      <c r="G48" s="36">
        <f t="shared" si="0"/>
        <v>8.3659378804240674E-3</v>
      </c>
      <c r="H48" s="33"/>
      <c r="I48" s="33"/>
      <c r="J48" s="8"/>
      <c r="K48" s="8"/>
      <c r="L48" s="4"/>
    </row>
    <row r="49" spans="2:12" ht="15" x14ac:dyDescent="0.25">
      <c r="B49" s="28" t="s">
        <v>72</v>
      </c>
      <c r="C49" s="19">
        <v>36.536999999999999</v>
      </c>
      <c r="D49" s="18">
        <v>868</v>
      </c>
      <c r="E49" s="34">
        <f t="shared" si="1"/>
        <v>1.5790906733511969</v>
      </c>
      <c r="F49" s="20">
        <v>1</v>
      </c>
      <c r="G49" s="36">
        <f t="shared" si="0"/>
        <v>7.850415221846584E-3</v>
      </c>
      <c r="H49" s="33"/>
      <c r="I49" s="33"/>
      <c r="J49" s="8"/>
      <c r="K49" s="8"/>
      <c r="L49" s="4"/>
    </row>
    <row r="50" spans="2:12" ht="15" x14ac:dyDescent="0.25">
      <c r="B50" s="28" t="s">
        <v>73</v>
      </c>
      <c r="C50" s="19">
        <v>43.692</v>
      </c>
      <c r="D50" s="18">
        <v>863</v>
      </c>
      <c r="E50" s="34">
        <f>C50/$C$27</f>
        <v>1.888322240470222</v>
      </c>
      <c r="F50" s="20">
        <v>1</v>
      </c>
      <c r="G50" s="36">
        <f t="shared" si="0"/>
        <v>7.8051939360064531E-3</v>
      </c>
      <c r="H50" s="33"/>
      <c r="I50" s="33"/>
      <c r="J50" s="8"/>
      <c r="K50" s="8"/>
      <c r="L50" s="4"/>
    </row>
    <row r="51" spans="2:12" ht="15" x14ac:dyDescent="0.25">
      <c r="B51" s="28" t="s">
        <v>74</v>
      </c>
      <c r="C51" s="19">
        <v>46.103999999999999</v>
      </c>
      <c r="D51" s="18">
        <v>536</v>
      </c>
      <c r="E51" s="34">
        <f t="shared" ref="E51:E57" si="2">C51/$C$27</f>
        <v>1.9925663410839309</v>
      </c>
      <c r="F51" s="20">
        <v>1</v>
      </c>
      <c r="G51" s="36">
        <f t="shared" si="0"/>
        <v>4.8477218420619455E-3</v>
      </c>
      <c r="H51" s="33"/>
      <c r="I51" s="33"/>
      <c r="J51" s="8"/>
      <c r="K51" s="8"/>
      <c r="L51" s="4"/>
    </row>
    <row r="52" spans="2:12" ht="15" x14ac:dyDescent="0.25">
      <c r="B52" s="28" t="s">
        <v>75</v>
      </c>
      <c r="C52" s="19"/>
      <c r="D52" s="18"/>
      <c r="E52" s="34">
        <f t="shared" si="2"/>
        <v>0</v>
      </c>
      <c r="F52" s="20">
        <v>1</v>
      </c>
      <c r="G52" s="36">
        <f t="shared" si="0"/>
        <v>0</v>
      </c>
      <c r="H52" s="33"/>
      <c r="I52" s="33"/>
      <c r="J52" s="8"/>
      <c r="K52" s="8"/>
      <c r="L52" s="4"/>
    </row>
    <row r="53" spans="2:12" ht="15" x14ac:dyDescent="0.25">
      <c r="B53" s="28" t="s">
        <v>76</v>
      </c>
      <c r="C53" s="19"/>
      <c r="D53" s="18"/>
      <c r="E53" s="34">
        <f t="shared" si="2"/>
        <v>0</v>
      </c>
      <c r="F53" s="20">
        <v>1</v>
      </c>
      <c r="G53" s="36">
        <f t="shared" si="0"/>
        <v>0</v>
      </c>
      <c r="H53" s="33"/>
      <c r="I53" s="33"/>
      <c r="J53" s="8"/>
      <c r="K53" s="8"/>
      <c r="L53" s="4"/>
    </row>
    <row r="54" spans="2:12" ht="15" x14ac:dyDescent="0.25">
      <c r="B54" s="28" t="s">
        <v>77</v>
      </c>
      <c r="C54" s="19"/>
      <c r="D54" s="18"/>
      <c r="E54" s="34">
        <f t="shared" si="2"/>
        <v>0</v>
      </c>
      <c r="F54" s="20">
        <v>1</v>
      </c>
      <c r="G54" s="36">
        <f t="shared" si="0"/>
        <v>0</v>
      </c>
      <c r="H54" s="33"/>
      <c r="I54" s="33"/>
      <c r="J54" s="8"/>
      <c r="K54" s="8"/>
      <c r="L54" s="4"/>
    </row>
    <row r="55" spans="2:12" ht="15" x14ac:dyDescent="0.25">
      <c r="B55" s="28" t="s">
        <v>78</v>
      </c>
      <c r="C55" s="19"/>
      <c r="D55" s="18"/>
      <c r="E55" s="34">
        <f t="shared" si="2"/>
        <v>0</v>
      </c>
      <c r="F55" s="20">
        <v>1</v>
      </c>
      <c r="G55" s="36">
        <f t="shared" si="0"/>
        <v>0</v>
      </c>
      <c r="H55" s="33"/>
      <c r="I55" s="33"/>
      <c r="J55" s="8"/>
      <c r="K55" s="8"/>
      <c r="L55" s="4"/>
    </row>
    <row r="56" spans="2:12" ht="15" x14ac:dyDescent="0.25">
      <c r="B56" s="28" t="s">
        <v>32</v>
      </c>
      <c r="C56" s="19"/>
      <c r="D56" s="18"/>
      <c r="E56" s="34">
        <f t="shared" si="2"/>
        <v>0</v>
      </c>
      <c r="F56" s="20">
        <v>1</v>
      </c>
      <c r="G56" s="36">
        <f t="shared" si="0"/>
        <v>0</v>
      </c>
      <c r="H56" s="33"/>
      <c r="I56" s="33"/>
      <c r="J56" s="8"/>
      <c r="K56" s="8"/>
      <c r="L56" s="4"/>
    </row>
    <row r="57" spans="2:12" ht="15" x14ac:dyDescent="0.25">
      <c r="B57" s="28" t="s">
        <v>33</v>
      </c>
      <c r="C57" s="19"/>
      <c r="D57" s="18"/>
      <c r="E57" s="34">
        <f t="shared" si="2"/>
        <v>0</v>
      </c>
      <c r="F57" s="20">
        <v>1</v>
      </c>
      <c r="G57" s="36">
        <f t="shared" si="0"/>
        <v>0</v>
      </c>
      <c r="H57" s="33"/>
      <c r="I57" s="33"/>
      <c r="J57" s="8"/>
      <c r="K57" s="8"/>
      <c r="L57" s="4"/>
    </row>
    <row r="58" spans="2:12" ht="15" x14ac:dyDescent="0.25">
      <c r="B58" s="28" t="s">
        <v>34</v>
      </c>
      <c r="C58" s="19"/>
      <c r="D58" s="18"/>
      <c r="E58" s="34">
        <f>C58/$C$27</f>
        <v>0</v>
      </c>
      <c r="F58" s="20">
        <v>1</v>
      </c>
      <c r="G58" s="36">
        <f t="shared" si="0"/>
        <v>0</v>
      </c>
      <c r="H58" s="33"/>
      <c r="I58" s="33"/>
      <c r="J58" s="8"/>
      <c r="K58" s="8"/>
      <c r="L58" s="4"/>
    </row>
    <row r="59" spans="2:12" ht="15" x14ac:dyDescent="0.25">
      <c r="B59" s="28" t="s">
        <v>35</v>
      </c>
      <c r="C59" s="19"/>
      <c r="D59" s="18"/>
      <c r="E59" s="34">
        <f t="shared" ref="E59:E74" si="3">C59/$C$27</f>
        <v>0</v>
      </c>
      <c r="F59" s="20">
        <v>1</v>
      </c>
      <c r="G59" s="36">
        <f t="shared" si="0"/>
        <v>0</v>
      </c>
      <c r="H59" s="33"/>
      <c r="I59" s="33"/>
      <c r="J59" s="8"/>
      <c r="K59" s="8"/>
      <c r="L59" s="4"/>
    </row>
    <row r="60" spans="2:12" ht="15" x14ac:dyDescent="0.25">
      <c r="B60" s="28" t="s">
        <v>36</v>
      </c>
      <c r="C60" s="19"/>
      <c r="D60" s="18"/>
      <c r="E60" s="34">
        <f t="shared" si="3"/>
        <v>0</v>
      </c>
      <c r="F60" s="20">
        <v>1</v>
      </c>
      <c r="G60" s="36">
        <f t="shared" si="0"/>
        <v>0</v>
      </c>
      <c r="H60" s="33"/>
      <c r="I60" s="33"/>
      <c r="J60" s="8"/>
      <c r="K60" s="8"/>
      <c r="L60" s="4"/>
    </row>
    <row r="61" spans="2:12" ht="15" x14ac:dyDescent="0.25">
      <c r="B61" s="28" t="s">
        <v>37</v>
      </c>
      <c r="C61" s="19"/>
      <c r="D61" s="18"/>
      <c r="E61" s="34">
        <f t="shared" si="3"/>
        <v>0</v>
      </c>
      <c r="F61" s="20">
        <v>1</v>
      </c>
      <c r="G61" s="36">
        <f t="shared" si="0"/>
        <v>0</v>
      </c>
      <c r="H61" s="33"/>
      <c r="I61" s="33"/>
      <c r="J61" s="8"/>
      <c r="K61" s="8"/>
      <c r="L61" s="4"/>
    </row>
    <row r="62" spans="2:12" ht="15" x14ac:dyDescent="0.25">
      <c r="B62" s="28" t="s">
        <v>38</v>
      </c>
      <c r="C62" s="19"/>
      <c r="D62" s="18"/>
      <c r="E62" s="34">
        <f t="shared" si="3"/>
        <v>0</v>
      </c>
      <c r="F62" s="20">
        <v>1</v>
      </c>
      <c r="G62" s="36">
        <f t="shared" si="0"/>
        <v>0</v>
      </c>
      <c r="H62" s="33"/>
      <c r="I62" s="33"/>
      <c r="J62" s="8"/>
      <c r="K62" s="8"/>
      <c r="L62" s="4"/>
    </row>
    <row r="63" spans="2:12" ht="15" x14ac:dyDescent="0.25">
      <c r="B63" s="28" t="s">
        <v>39</v>
      </c>
      <c r="C63" s="19"/>
      <c r="D63" s="18"/>
      <c r="E63" s="34">
        <f t="shared" si="3"/>
        <v>0</v>
      </c>
      <c r="F63" s="20">
        <v>1</v>
      </c>
      <c r="G63" s="36">
        <f t="shared" si="0"/>
        <v>0</v>
      </c>
      <c r="H63" s="33"/>
      <c r="I63" s="33"/>
      <c r="J63" s="8"/>
      <c r="K63" s="8"/>
      <c r="L63" s="4"/>
    </row>
    <row r="64" spans="2:12" ht="15" x14ac:dyDescent="0.25">
      <c r="B64" s="28" t="s">
        <v>40</v>
      </c>
      <c r="C64" s="19"/>
      <c r="D64" s="18"/>
      <c r="E64" s="34">
        <f t="shared" si="3"/>
        <v>0</v>
      </c>
      <c r="F64" s="20">
        <v>1</v>
      </c>
      <c r="G64" s="36">
        <f t="shared" si="0"/>
        <v>0</v>
      </c>
      <c r="H64" s="33"/>
      <c r="I64" s="33"/>
      <c r="J64" s="8"/>
      <c r="K64" s="8"/>
      <c r="L64" s="4"/>
    </row>
    <row r="65" spans="2:12" ht="15" x14ac:dyDescent="0.25">
      <c r="B65" s="28" t="s">
        <v>41</v>
      </c>
      <c r="C65" s="19"/>
      <c r="D65" s="18"/>
      <c r="E65" s="34">
        <f t="shared" si="3"/>
        <v>0</v>
      </c>
      <c r="F65" s="20">
        <v>1</v>
      </c>
      <c r="G65" s="36">
        <f t="shared" si="0"/>
        <v>0</v>
      </c>
      <c r="H65" s="33"/>
      <c r="I65" s="33"/>
      <c r="J65" s="8"/>
      <c r="K65" s="8"/>
      <c r="L65" s="4"/>
    </row>
    <row r="66" spans="2:12" ht="15" x14ac:dyDescent="0.25">
      <c r="B66" s="28" t="s">
        <v>42</v>
      </c>
      <c r="C66" s="19"/>
      <c r="D66" s="18"/>
      <c r="E66" s="34">
        <f t="shared" si="3"/>
        <v>0</v>
      </c>
      <c r="F66" s="20">
        <v>1</v>
      </c>
      <c r="G66" s="36">
        <f t="shared" si="0"/>
        <v>0</v>
      </c>
      <c r="H66" s="33"/>
      <c r="I66" s="33"/>
      <c r="J66" s="8"/>
      <c r="K66" s="8"/>
      <c r="L66" s="4"/>
    </row>
    <row r="67" spans="2:12" ht="15" x14ac:dyDescent="0.25">
      <c r="B67" s="28" t="s">
        <v>43</v>
      </c>
      <c r="C67" s="19"/>
      <c r="D67" s="18"/>
      <c r="E67" s="34">
        <f t="shared" si="3"/>
        <v>0</v>
      </c>
      <c r="F67" s="20">
        <v>1</v>
      </c>
      <c r="G67" s="36">
        <f t="shared" si="0"/>
        <v>0</v>
      </c>
      <c r="H67" s="33"/>
      <c r="I67" s="33"/>
      <c r="J67" s="8"/>
      <c r="K67" s="8"/>
      <c r="L67" s="4"/>
    </row>
    <row r="68" spans="2:12" ht="15" x14ac:dyDescent="0.25">
      <c r="B68" s="28" t="s">
        <v>44</v>
      </c>
      <c r="C68" s="19"/>
      <c r="D68" s="18"/>
      <c r="E68" s="34">
        <f t="shared" si="3"/>
        <v>0</v>
      </c>
      <c r="F68" s="20">
        <v>1</v>
      </c>
      <c r="G68" s="36">
        <f t="shared" si="0"/>
        <v>0</v>
      </c>
      <c r="H68" s="33"/>
      <c r="I68" s="33"/>
      <c r="J68" s="8"/>
      <c r="K68" s="8"/>
      <c r="L68" s="4"/>
    </row>
    <row r="69" spans="2:12" ht="15" x14ac:dyDescent="0.25">
      <c r="B69" s="28" t="s">
        <v>45</v>
      </c>
      <c r="C69" s="19"/>
      <c r="D69" s="18"/>
      <c r="E69" s="34">
        <f t="shared" si="3"/>
        <v>0</v>
      </c>
      <c r="F69" s="20">
        <v>1</v>
      </c>
      <c r="G69" s="36">
        <f t="shared" si="0"/>
        <v>0</v>
      </c>
      <c r="H69" s="33"/>
      <c r="I69" s="33"/>
      <c r="J69" s="8"/>
      <c r="K69" s="8"/>
      <c r="L69" s="4"/>
    </row>
    <row r="70" spans="2:12" ht="15" x14ac:dyDescent="0.25">
      <c r="B70" s="28" t="s">
        <v>46</v>
      </c>
      <c r="C70" s="19"/>
      <c r="D70" s="18"/>
      <c r="E70" s="34">
        <f t="shared" si="3"/>
        <v>0</v>
      </c>
      <c r="F70" s="20">
        <v>1</v>
      </c>
      <c r="G70" s="36">
        <f t="shared" si="0"/>
        <v>0</v>
      </c>
      <c r="H70" s="33"/>
      <c r="I70" s="33"/>
      <c r="J70" s="8"/>
      <c r="K70" s="8"/>
      <c r="L70" s="4"/>
    </row>
    <row r="71" spans="2:12" ht="15" x14ac:dyDescent="0.25">
      <c r="B71" s="28" t="s">
        <v>47</v>
      </c>
      <c r="C71" s="19"/>
      <c r="D71" s="18"/>
      <c r="E71" s="34">
        <f t="shared" si="3"/>
        <v>0</v>
      </c>
      <c r="F71" s="20">
        <v>1</v>
      </c>
      <c r="G71" s="36">
        <f t="shared" si="0"/>
        <v>0</v>
      </c>
      <c r="H71" s="33"/>
      <c r="I71" s="33"/>
      <c r="J71" s="8"/>
      <c r="K71" s="8"/>
      <c r="L71" s="4"/>
    </row>
    <row r="72" spans="2:12" ht="15" x14ac:dyDescent="0.25">
      <c r="B72" s="28" t="s">
        <v>48</v>
      </c>
      <c r="C72" s="19"/>
      <c r="D72" s="18"/>
      <c r="E72" s="34">
        <f t="shared" si="3"/>
        <v>0</v>
      </c>
      <c r="F72" s="20">
        <v>1</v>
      </c>
      <c r="G72" s="36">
        <f t="shared" si="0"/>
        <v>0</v>
      </c>
      <c r="H72" s="33"/>
      <c r="I72" s="33"/>
      <c r="J72" s="8"/>
      <c r="K72" s="8"/>
      <c r="L72" s="4"/>
    </row>
    <row r="73" spans="2:12" ht="15" x14ac:dyDescent="0.25">
      <c r="B73" s="28" t="s">
        <v>79</v>
      </c>
      <c r="C73" s="19"/>
      <c r="D73" s="18"/>
      <c r="E73" s="34">
        <f t="shared" si="3"/>
        <v>0</v>
      </c>
      <c r="F73" s="20">
        <v>1</v>
      </c>
      <c r="G73" s="36">
        <f t="shared" si="0"/>
        <v>0</v>
      </c>
      <c r="H73" s="33"/>
      <c r="I73" s="33"/>
      <c r="J73" s="8"/>
      <c r="K73" s="8"/>
      <c r="L73" s="4"/>
    </row>
    <row r="74" spans="2:12" ht="15" x14ac:dyDescent="0.25">
      <c r="B74" s="28" t="s">
        <v>80</v>
      </c>
      <c r="C74" s="19"/>
      <c r="D74" s="18"/>
      <c r="E74" s="34">
        <f t="shared" si="3"/>
        <v>0</v>
      </c>
      <c r="F74" s="20">
        <v>1</v>
      </c>
      <c r="G74" s="36">
        <f t="shared" si="0"/>
        <v>0</v>
      </c>
      <c r="H74" s="33"/>
      <c r="I74" s="33"/>
      <c r="J74" s="8"/>
      <c r="K74" s="8"/>
      <c r="L74" s="4"/>
    </row>
    <row r="75" spans="2:12" ht="15" x14ac:dyDescent="0.25">
      <c r="B75" s="53" t="s">
        <v>2</v>
      </c>
      <c r="C75" s="54"/>
      <c r="D75" s="54"/>
      <c r="E75" s="54"/>
      <c r="F75" s="55"/>
      <c r="G75" s="37">
        <f>MAX(G33:G74)</f>
        <v>5.9854893937996194E-2</v>
      </c>
      <c r="H75" s="33"/>
      <c r="I75" s="33"/>
      <c r="J75" s="8"/>
      <c r="K75" s="8"/>
      <c r="L75" s="4"/>
    </row>
    <row r="76" spans="2:12" ht="15" x14ac:dyDescent="0.25">
      <c r="B76" s="53" t="s">
        <v>3</v>
      </c>
      <c r="C76" s="54"/>
      <c r="D76" s="54"/>
      <c r="E76" s="54"/>
      <c r="F76" s="55"/>
      <c r="G76" s="31">
        <f>SUM(G30:G74)</f>
        <v>0.49560616642791311</v>
      </c>
      <c r="H76" s="4"/>
    </row>
    <row r="77" spans="2:12" ht="15" x14ac:dyDescent="0.25">
      <c r="B77" s="10"/>
      <c r="C77" s="11"/>
      <c r="D77" s="11"/>
      <c r="E77" s="11"/>
      <c r="F77" s="11"/>
      <c r="G77" s="12"/>
      <c r="H77" s="4"/>
    </row>
    <row r="78" spans="2:12" ht="15" x14ac:dyDescent="0.25">
      <c r="B78" s="25" t="s">
        <v>15</v>
      </c>
      <c r="C78" s="38"/>
      <c r="D78" s="38"/>
      <c r="E78" s="22" t="s">
        <v>16</v>
      </c>
      <c r="F78" s="38"/>
      <c r="G78" s="39"/>
      <c r="H78" s="4"/>
    </row>
    <row r="79" spans="2:12" ht="15" x14ac:dyDescent="0.25">
      <c r="B79" s="25" t="s">
        <v>0</v>
      </c>
      <c r="C79" s="38"/>
      <c r="D79" s="38"/>
      <c r="E79" s="22" t="s">
        <v>0</v>
      </c>
      <c r="F79" s="38"/>
      <c r="G79" s="39"/>
      <c r="H79" s="4"/>
    </row>
    <row r="80" spans="2:12" ht="15.75" thickBot="1" x14ac:dyDescent="0.3">
      <c r="B80" s="13"/>
      <c r="C80" s="14"/>
      <c r="D80" s="14"/>
      <c r="E80" s="14"/>
      <c r="F80" s="14"/>
      <c r="G80" s="15"/>
      <c r="H80" s="4"/>
    </row>
  </sheetData>
  <sheetProtection password="8FE8" sheet="1" objects="1" scenarios="1" formatCells="0"/>
  <mergeCells count="25">
    <mergeCell ref="C13:G13"/>
    <mergeCell ref="B2:G2"/>
    <mergeCell ref="B3:G3"/>
    <mergeCell ref="B4:G4"/>
    <mergeCell ref="B5:G5"/>
    <mergeCell ref="B6:G6"/>
    <mergeCell ref="C7:G7"/>
    <mergeCell ref="C8:G8"/>
    <mergeCell ref="C9:G9"/>
    <mergeCell ref="C10:G10"/>
    <mergeCell ref="C11:G11"/>
    <mergeCell ref="C12:G12"/>
    <mergeCell ref="C79:D79"/>
    <mergeCell ref="F79:G79"/>
    <mergeCell ref="C14:G14"/>
    <mergeCell ref="C15:G15"/>
    <mergeCell ref="C16:G16"/>
    <mergeCell ref="C17:G17"/>
    <mergeCell ref="C18:G18"/>
    <mergeCell ref="B19:G19"/>
    <mergeCell ref="B22:G22"/>
    <mergeCell ref="B75:F75"/>
    <mergeCell ref="B76:F76"/>
    <mergeCell ref="C78:D78"/>
    <mergeCell ref="F78:G7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RS</vt:lpstr>
      <vt:lpstr>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Kathrotia, Tarang</dc:creator>
  <cp:lastModifiedBy>Patel, Harshal</cp:lastModifiedBy>
  <cp:lastPrinted>2025-03-05T09:18:35Z</cp:lastPrinted>
  <dcterms:created xsi:type="dcterms:W3CDTF">2015-03-25T08:15:55Z</dcterms:created>
  <dcterms:modified xsi:type="dcterms:W3CDTF">2025-07-02T06:02:03Z</dcterms:modified>
</cp:coreProperties>
</file>