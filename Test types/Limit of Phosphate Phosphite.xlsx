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31.104.15\Analytical NDDS_1\1) Analytical Planning\Calculation sheet_AD_NDDS\Routine analysis\"/>
    </mc:Choice>
  </mc:AlternateContent>
  <xr:revisionPtr revIDLastSave="0" documentId="13_ncr:1_{72754F6F-37E3-4C59-B9A9-019389B29D19}" xr6:coauthVersionLast="36" xr6:coauthVersionMax="36" xr10:uidLastSave="{00000000-0000-0000-0000-000000000000}"/>
  <bookViews>
    <workbookView xWindow="0" yWindow="0" windowWidth="20496" windowHeight="7752" xr2:uid="{00000000-000D-0000-FFFF-FFFF00000000}"/>
  </bookViews>
  <sheets>
    <sheet name="Sheet1 " sheetId="4" r:id="rId1"/>
  </sheets>
  <definedNames>
    <definedName name="_xlnm.Print_Area" localSheetId="0">'Sheet1 '!$A$1:$M$48</definedName>
  </definedNames>
  <calcPr calcId="191029"/>
</workbook>
</file>

<file path=xl/calcChain.xml><?xml version="1.0" encoding="utf-8"?>
<calcChain xmlns="http://schemas.openxmlformats.org/spreadsheetml/2006/main">
  <c r="L26" i="4" l="1"/>
  <c r="L25" i="4"/>
  <c r="K26" i="4"/>
  <c r="K25" i="4"/>
  <c r="C26" i="4"/>
  <c r="B26" i="4"/>
  <c r="C25" i="4"/>
  <c r="L32" i="4" s="1"/>
  <c r="B25" i="4"/>
  <c r="K43" i="4" s="1"/>
  <c r="L15" i="4"/>
  <c r="L14" i="4"/>
  <c r="L30" i="4"/>
  <c r="K30" i="4"/>
  <c r="J30" i="4"/>
  <c r="I30" i="4"/>
  <c r="L18" i="4"/>
  <c r="K18" i="4"/>
  <c r="C18" i="4"/>
  <c r="B18" i="4"/>
  <c r="L27" i="4" l="1"/>
  <c r="B27" i="4"/>
  <c r="C27" i="4"/>
  <c r="L42" i="4"/>
  <c r="L38" i="4"/>
  <c r="L43" i="4"/>
  <c r="L41" i="4"/>
  <c r="L40" i="4"/>
  <c r="L39" i="4"/>
  <c r="L37" i="4"/>
  <c r="L36" i="4"/>
  <c r="L35" i="4"/>
  <c r="L34" i="4"/>
  <c r="L33" i="4"/>
  <c r="L31" i="4"/>
  <c r="K42" i="4"/>
  <c r="K41" i="4"/>
  <c r="K27" i="4"/>
  <c r="K40" i="4"/>
  <c r="K39" i="4"/>
  <c r="K38" i="4"/>
  <c r="K37" i="4"/>
  <c r="K36" i="4"/>
  <c r="K35" i="4"/>
  <c r="K34" i="4"/>
  <c r="K33" i="4"/>
  <c r="K31" i="4"/>
  <c r="K32" i="4"/>
</calcChain>
</file>

<file path=xl/sharedStrings.xml><?xml version="1.0" encoding="utf-8"?>
<sst xmlns="http://schemas.openxmlformats.org/spreadsheetml/2006/main" count="69" uniqueCount="59">
  <si>
    <t>Element</t>
  </si>
  <si>
    <t>SD</t>
  </si>
  <si>
    <t>Salt Form</t>
  </si>
  <si>
    <t>Mean</t>
  </si>
  <si>
    <t>%RSD</t>
  </si>
  <si>
    <t>Batch No.</t>
  </si>
  <si>
    <t>Sample Area</t>
  </si>
  <si>
    <t>Standard Area</t>
  </si>
  <si>
    <t>Sample Details</t>
  </si>
  <si>
    <t>AR.No.</t>
  </si>
  <si>
    <t>Condition</t>
  </si>
  <si>
    <t>Emcure</t>
  </si>
  <si>
    <t>Analytical Development</t>
  </si>
  <si>
    <t>Sample Dilution</t>
  </si>
  <si>
    <t>Rep No.</t>
  </si>
  <si>
    <t>+</t>
  </si>
  <si>
    <t>Phosphate</t>
  </si>
  <si>
    <t>Phosphite</t>
  </si>
  <si>
    <t>mL</t>
  </si>
  <si>
    <t>Potency</t>
  </si>
  <si>
    <t>TRF No.</t>
  </si>
  <si>
    <t>Lable Claim</t>
  </si>
  <si>
    <t xml:space="preserve">% Results </t>
  </si>
  <si>
    <t>Foscarnet Sodium Injection 24mg/mL</t>
  </si>
  <si>
    <t xml:space="preserve">Limit of Phosphate &amp; Phosphite </t>
  </si>
  <si>
    <t>Product Name</t>
  </si>
  <si>
    <t>Analysed By</t>
  </si>
  <si>
    <t>Limit of Phosphate &amp; Phosphite Calculation Sheet</t>
  </si>
  <si>
    <t>Standard BKT Area</t>
  </si>
  <si>
    <t>Analysis as per</t>
  </si>
  <si>
    <t>QC-DP-MOA-029-01</t>
  </si>
  <si>
    <t xml:space="preserve">Test </t>
  </si>
  <si>
    <t>Instrument ID</t>
  </si>
  <si>
    <t xml:space="preserve"> Date of Analysis</t>
  </si>
  <si>
    <t>Sr. No.</t>
  </si>
  <si>
    <t>Analysed 
 By</t>
  </si>
  <si>
    <t>Std Wt (mg)</t>
  </si>
  <si>
    <t>Conc. (ppm)</t>
  </si>
  <si>
    <t>Checked
 By</t>
  </si>
  <si>
    <t>M.W. of Salt</t>
  </si>
  <si>
    <t>M.W. of Base</t>
  </si>
  <si>
    <t>BKT- 1</t>
  </si>
  <si>
    <t>BKT- 2</t>
  </si>
  <si>
    <t>BKT- 3</t>
  </si>
  <si>
    <t>BKT- 4</t>
  </si>
  <si>
    <t>BKT- 5</t>
  </si>
  <si>
    <t>BKT- 6</t>
  </si>
  <si>
    <r>
      <t>NaH</t>
    </r>
    <r>
      <rPr>
        <b/>
        <vertAlign val="subscript"/>
        <sz val="16"/>
        <color theme="1"/>
        <rFont val="Arial"/>
        <family val="2"/>
      </rPr>
      <t>2</t>
    </r>
    <r>
      <rPr>
        <b/>
        <sz val="16"/>
        <color theme="1"/>
        <rFont val="Arial"/>
        <family val="2"/>
      </rPr>
      <t>PO</t>
    </r>
    <r>
      <rPr>
        <b/>
        <vertAlign val="subscript"/>
        <sz val="16"/>
        <color theme="1"/>
        <rFont val="Arial"/>
        <family val="2"/>
      </rPr>
      <t xml:space="preserve">4 </t>
    </r>
    <r>
      <rPr>
        <b/>
        <sz val="16"/>
        <color theme="1"/>
        <rFont val="Arial"/>
        <family val="2"/>
      </rPr>
      <t>* H</t>
    </r>
    <r>
      <rPr>
        <b/>
        <vertAlign val="subscript"/>
        <sz val="16"/>
        <color theme="1"/>
        <rFont val="Arial"/>
        <family val="2"/>
      </rPr>
      <t>2</t>
    </r>
    <r>
      <rPr>
        <b/>
        <sz val="16"/>
        <color theme="1"/>
        <rFont val="Arial"/>
        <family val="2"/>
      </rPr>
      <t>O</t>
    </r>
  </si>
  <si>
    <r>
      <t>Na</t>
    </r>
    <r>
      <rPr>
        <b/>
        <vertAlign val="subscript"/>
        <sz val="16"/>
        <color theme="1"/>
        <rFont val="Arial"/>
        <family val="2"/>
      </rPr>
      <t>2</t>
    </r>
    <r>
      <rPr>
        <b/>
        <sz val="16"/>
        <color theme="1"/>
        <rFont val="Arial"/>
        <family val="2"/>
      </rPr>
      <t>HPO</t>
    </r>
    <r>
      <rPr>
        <b/>
        <vertAlign val="subscript"/>
        <sz val="16"/>
        <color theme="1"/>
        <rFont val="Arial"/>
        <family val="2"/>
      </rPr>
      <t xml:space="preserve">3 </t>
    </r>
    <r>
      <rPr>
        <b/>
        <sz val="16"/>
        <color theme="1"/>
        <rFont val="Arial"/>
        <family val="2"/>
      </rPr>
      <t>* 5H</t>
    </r>
    <r>
      <rPr>
        <b/>
        <vertAlign val="subscript"/>
        <sz val="16"/>
        <color theme="1"/>
        <rFont val="Arial"/>
        <family val="2"/>
      </rPr>
      <t>2</t>
    </r>
    <r>
      <rPr>
        <b/>
        <sz val="16"/>
        <color theme="1"/>
        <rFont val="Arial"/>
        <family val="2"/>
      </rPr>
      <t>O</t>
    </r>
  </si>
  <si>
    <t>Pipette</t>
  </si>
  <si>
    <t>mL (V.F.)</t>
  </si>
  <si>
    <t>PTF_351AHM-025</t>
  </si>
  <si>
    <t>25°C_6M</t>
  </si>
  <si>
    <t>40°C_6M</t>
  </si>
  <si>
    <t>AD/HPLC/007</t>
  </si>
  <si>
    <t>Mayur Kansara</t>
  </si>
  <si>
    <t>AD/008/24/0563</t>
  </si>
  <si>
    <t>TRF_055-24-58</t>
  </si>
  <si>
    <t>R &amp; D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</si>
</sst>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vertAlign val="subscript"/>
      <sz val="16"/>
      <color theme="1"/>
      <name val="Arial"/>
      <family val="2"/>
    </font>
    <font>
      <b/>
      <sz val="1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BD9E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Protection="1">
      <protection hidden="1"/>
    </xf>
    <xf numFmtId="0" fontId="2" fillId="0" borderId="0" xfId="0" applyFont="1" applyBorder="1" applyAlignment="1" applyProtection="1"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0" borderId="0" xfId="0" applyFont="1" applyBorder="1" applyProtection="1">
      <protection hidden="1"/>
    </xf>
    <xf numFmtId="0" fontId="3" fillId="2" borderId="1" xfId="0" applyFont="1" applyFill="1" applyBorder="1" applyAlignment="1" applyProtection="1">
      <alignment horizontal="left" vertical="center"/>
      <protection locked="0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left" vertical="center"/>
      <protection hidden="1"/>
    </xf>
    <xf numFmtId="0" fontId="4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horizontal="left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2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Border="1" applyProtection="1">
      <protection hidden="1"/>
    </xf>
    <xf numFmtId="0" fontId="3" fillId="0" borderId="0" xfId="0" applyFont="1" applyProtection="1">
      <protection hidden="1"/>
    </xf>
    <xf numFmtId="164" fontId="3" fillId="0" borderId="0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1" xfId="0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Border="1" applyAlignment="1" applyProtection="1">
      <alignment horizontal="center" vertical="center"/>
      <protection hidden="1"/>
    </xf>
    <xf numFmtId="1" fontId="4" fillId="0" borderId="1" xfId="0" applyNumberFormat="1" applyFont="1" applyBorder="1" applyAlignment="1" applyProtection="1">
      <alignment horizontal="center" vertical="center"/>
      <protection hidden="1"/>
    </xf>
    <xf numFmtId="2" fontId="3" fillId="0" borderId="1" xfId="0" applyNumberFormat="1" applyFont="1" applyBorder="1" applyAlignment="1" applyProtection="1">
      <alignment horizontal="center" vertical="center"/>
      <protection hidden="1"/>
    </xf>
    <xf numFmtId="2" fontId="4" fillId="0" borderId="1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Fill="1" applyBorder="1" applyAlignment="1" applyProtection="1">
      <alignment horizontal="left"/>
      <protection hidden="1"/>
    </xf>
    <xf numFmtId="0" fontId="3" fillId="0" borderId="0" xfId="0" applyFont="1" applyBorder="1" applyAlignment="1" applyProtection="1">
      <alignment horizontal="center"/>
      <protection hidden="1"/>
    </xf>
    <xf numFmtId="165" fontId="3" fillId="0" borderId="0" xfId="0" applyNumberFormat="1" applyFont="1" applyBorder="1" applyAlignment="1" applyProtection="1">
      <alignment horizontal="center"/>
      <protection hidden="1"/>
    </xf>
    <xf numFmtId="2" fontId="3" fillId="0" borderId="0" xfId="0" applyNumberFormat="1" applyFont="1" applyBorder="1" applyAlignment="1" applyProtection="1">
      <alignment horizontal="center"/>
      <protection hidden="1"/>
    </xf>
    <xf numFmtId="166" fontId="3" fillId="0" borderId="0" xfId="0" applyNumberFormat="1" applyFont="1" applyBorder="1" applyAlignment="1" applyProtection="1">
      <alignment horizontal="center"/>
      <protection hidden="1"/>
    </xf>
    <xf numFmtId="0" fontId="4" fillId="0" borderId="5" xfId="0" applyFont="1" applyFill="1" applyBorder="1" applyAlignment="1" applyProtection="1">
      <alignment horizontal="center" vertical="center"/>
      <protection hidden="1"/>
    </xf>
    <xf numFmtId="164" fontId="4" fillId="0" borderId="1" xfId="0" applyNumberFormat="1" applyFont="1" applyFill="1" applyBorder="1" applyAlignment="1" applyProtection="1">
      <alignment horizontal="center" vertical="center"/>
      <protection hidden="1"/>
    </xf>
    <xf numFmtId="0" fontId="4" fillId="0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 applyProtection="1">
      <alignment horizontal="center"/>
      <protection hidden="1"/>
    </xf>
    <xf numFmtId="0" fontId="1" fillId="0" borderId="1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left" vertical="center"/>
      <protection locked="0"/>
    </xf>
    <xf numFmtId="15" fontId="4" fillId="2" borderId="1" xfId="0" applyNumberFormat="1" applyFont="1" applyFill="1" applyBorder="1" applyAlignment="1" applyProtection="1">
      <alignment horizontal="left" vertical="center"/>
      <protection locked="0"/>
    </xf>
    <xf numFmtId="0" fontId="4" fillId="2" borderId="1" xfId="0" applyNumberFormat="1" applyFont="1" applyFill="1" applyBorder="1" applyAlignment="1" applyProtection="1">
      <alignment horizontal="left" vertical="center"/>
      <protection locked="0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4" xfId="0" applyFont="1" applyFill="1" applyBorder="1" applyAlignment="1" applyProtection="1">
      <alignment horizontal="left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hidden="1"/>
    </xf>
    <xf numFmtId="0" fontId="4" fillId="0" borderId="3" xfId="0" applyFont="1" applyFill="1" applyBorder="1" applyAlignment="1" applyProtection="1">
      <alignment horizontal="center" vertical="center"/>
      <protection hidden="1"/>
    </xf>
    <xf numFmtId="0" fontId="4" fillId="0" borderId="4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BD9EB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view="pageBreakPreview" zoomScale="60" zoomScaleNormal="70" zoomScalePageLayoutView="55" workbookViewId="0">
      <selection activeCell="D17" sqref="D17"/>
    </sheetView>
  </sheetViews>
  <sheetFormatPr defaultColWidth="9.109375" defaultRowHeight="13.8" x14ac:dyDescent="0.25"/>
  <cols>
    <col min="1" max="1" width="30.6640625" style="1" customWidth="1"/>
    <col min="2" max="2" width="25.109375" style="1" customWidth="1"/>
    <col min="3" max="3" width="40.88671875" style="1" customWidth="1"/>
    <col min="4" max="4" width="30" style="1" customWidth="1"/>
    <col min="5" max="5" width="25.5546875" style="1" customWidth="1"/>
    <col min="6" max="6" width="23.88671875" style="1" customWidth="1"/>
    <col min="7" max="7" width="17.88671875" style="1" customWidth="1"/>
    <col min="8" max="8" width="23.44140625" style="1" customWidth="1"/>
    <col min="9" max="9" width="27" style="1" customWidth="1"/>
    <col min="10" max="10" width="26" style="1" customWidth="1"/>
    <col min="11" max="11" width="21.33203125" style="1" customWidth="1"/>
    <col min="12" max="12" width="24.109375" style="1" customWidth="1"/>
    <col min="13" max="13" width="4.6640625" style="1" customWidth="1"/>
    <col min="14" max="14" width="31.33203125" style="1" bestFit="1" customWidth="1"/>
    <col min="15" max="15" width="17.33203125" style="1" bestFit="1" customWidth="1"/>
    <col min="16" max="16" width="12.88671875" style="1" bestFit="1" customWidth="1"/>
    <col min="17" max="16384" width="9.109375" style="1"/>
  </cols>
  <sheetData>
    <row r="1" spans="1:13" ht="24.9" customHeight="1" x14ac:dyDescent="0.4">
      <c r="A1" s="36" t="s">
        <v>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4"/>
    </row>
    <row r="2" spans="1:13" ht="24.9" customHeight="1" x14ac:dyDescent="0.4">
      <c r="A2" s="37" t="s">
        <v>58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4"/>
    </row>
    <row r="3" spans="1:13" ht="24.9" customHeight="1" x14ac:dyDescent="0.4">
      <c r="A3" s="37" t="s">
        <v>12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4"/>
    </row>
    <row r="4" spans="1:13" ht="24.9" customHeight="1" x14ac:dyDescent="0.4">
      <c r="A4" s="37" t="s">
        <v>27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4"/>
    </row>
    <row r="5" spans="1:13" ht="4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4"/>
      <c r="L5" s="4"/>
      <c r="M5" s="4"/>
    </row>
    <row r="6" spans="1:13" ht="30" customHeight="1" x14ac:dyDescent="0.25">
      <c r="A6" s="11" t="s">
        <v>25</v>
      </c>
      <c r="B6" s="38" t="s">
        <v>23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4"/>
    </row>
    <row r="7" spans="1:13" ht="30" customHeight="1" x14ac:dyDescent="0.25">
      <c r="A7" s="11" t="s">
        <v>31</v>
      </c>
      <c r="B7" s="38" t="s">
        <v>24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4"/>
    </row>
    <row r="8" spans="1:13" ht="30" customHeight="1" x14ac:dyDescent="0.25">
      <c r="A8" s="11" t="s">
        <v>29</v>
      </c>
      <c r="B8" s="39" t="s">
        <v>30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4"/>
    </row>
    <row r="9" spans="1:13" ht="30" customHeight="1" x14ac:dyDescent="0.25">
      <c r="A9" s="11" t="s">
        <v>32</v>
      </c>
      <c r="B9" s="39" t="s">
        <v>54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4"/>
    </row>
    <row r="10" spans="1:13" ht="30" customHeight="1" x14ac:dyDescent="0.25">
      <c r="A10" s="11" t="s">
        <v>26</v>
      </c>
      <c r="B10" s="39" t="s">
        <v>55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"/>
    </row>
    <row r="11" spans="1:13" ht="30" customHeight="1" x14ac:dyDescent="0.25">
      <c r="A11" s="11" t="s">
        <v>33</v>
      </c>
      <c r="B11" s="39">
        <v>45574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"/>
    </row>
    <row r="12" spans="1:13" ht="10.5" customHeight="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4"/>
    </row>
    <row r="13" spans="1:13" s="2" customFormat="1" ht="30" customHeight="1" x14ac:dyDescent="0.3">
      <c r="A13" s="12" t="s">
        <v>0</v>
      </c>
      <c r="B13" s="12" t="s">
        <v>2</v>
      </c>
      <c r="C13" s="12" t="s">
        <v>40</v>
      </c>
      <c r="D13" s="12" t="s">
        <v>39</v>
      </c>
      <c r="E13" s="12" t="s">
        <v>36</v>
      </c>
      <c r="F13" s="12" t="s">
        <v>50</v>
      </c>
      <c r="G13" s="12" t="s">
        <v>49</v>
      </c>
      <c r="H13" s="12" t="s">
        <v>50</v>
      </c>
      <c r="I13" s="12" t="s">
        <v>49</v>
      </c>
      <c r="J13" s="12" t="s">
        <v>50</v>
      </c>
      <c r="K13" s="12" t="s">
        <v>19</v>
      </c>
      <c r="L13" s="12" t="s">
        <v>37</v>
      </c>
      <c r="M13" s="6"/>
    </row>
    <row r="14" spans="1:13" s="3" customFormat="1" ht="30" customHeight="1" x14ac:dyDescent="0.3">
      <c r="A14" s="13" t="s">
        <v>16</v>
      </c>
      <c r="B14" s="13" t="s">
        <v>47</v>
      </c>
      <c r="C14" s="14">
        <v>94.97</v>
      </c>
      <c r="D14" s="14">
        <v>137.99</v>
      </c>
      <c r="E14" s="15">
        <v>349.79</v>
      </c>
      <c r="F14" s="16">
        <v>100</v>
      </c>
      <c r="G14" s="16">
        <v>10</v>
      </c>
      <c r="H14" s="16">
        <v>50</v>
      </c>
      <c r="I14" s="16">
        <v>5</v>
      </c>
      <c r="J14" s="16">
        <v>25</v>
      </c>
      <c r="K14" s="16">
        <v>100</v>
      </c>
      <c r="L14" s="17">
        <f>IFERROR((E14/F14*G14/H14*I14/J14*C14/D14*K14/100*1000), "")</f>
        <v>96.295546923690125</v>
      </c>
      <c r="M14" s="7"/>
    </row>
    <row r="15" spans="1:13" s="3" customFormat="1" ht="30" customHeight="1" x14ac:dyDescent="0.3">
      <c r="A15" s="13" t="s">
        <v>17</v>
      </c>
      <c r="B15" s="13" t="s">
        <v>48</v>
      </c>
      <c r="C15" s="14">
        <v>78.97</v>
      </c>
      <c r="D15" s="14">
        <v>216.04</v>
      </c>
      <c r="E15" s="15">
        <v>333.34</v>
      </c>
      <c r="F15" s="16">
        <v>100</v>
      </c>
      <c r="G15" s="16">
        <v>10</v>
      </c>
      <c r="H15" s="16">
        <v>50</v>
      </c>
      <c r="I15" s="16">
        <v>5</v>
      </c>
      <c r="J15" s="16">
        <v>25</v>
      </c>
      <c r="K15" s="16">
        <v>99.7</v>
      </c>
      <c r="L15" s="17">
        <f>IFERROR((E15/F15*G15/H15*I15/J15*C15/D15*K15/100*1000), "")</f>
        <v>48.592646214775037</v>
      </c>
      <c r="M15" s="7"/>
    </row>
    <row r="16" spans="1:13" ht="12" customHeight="1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4"/>
    </row>
    <row r="17" spans="1:13" s="3" customFormat="1" ht="30" customHeight="1" x14ac:dyDescent="0.3">
      <c r="A17" s="35" t="s">
        <v>34</v>
      </c>
      <c r="B17" s="35" t="s">
        <v>7</v>
      </c>
      <c r="C17" s="35"/>
      <c r="D17" s="20"/>
      <c r="E17" s="20"/>
      <c r="F17" s="21"/>
      <c r="G17" s="22"/>
      <c r="H17" s="22"/>
      <c r="I17" s="22"/>
      <c r="J17" s="35" t="s">
        <v>14</v>
      </c>
      <c r="K17" s="35" t="s">
        <v>28</v>
      </c>
      <c r="L17" s="35"/>
      <c r="M17" s="7"/>
    </row>
    <row r="18" spans="1:13" s="3" customFormat="1" ht="30" customHeight="1" x14ac:dyDescent="0.3">
      <c r="A18" s="35"/>
      <c r="B18" s="23" t="str">
        <f>A14</f>
        <v>Phosphate</v>
      </c>
      <c r="C18" s="23" t="str">
        <f>A15</f>
        <v>Phosphite</v>
      </c>
      <c r="D18" s="20"/>
      <c r="E18" s="20"/>
      <c r="F18" s="24"/>
      <c r="G18" s="22"/>
      <c r="H18" s="22"/>
      <c r="I18" s="22"/>
      <c r="J18" s="35"/>
      <c r="K18" s="23" t="str">
        <f>A14</f>
        <v>Phosphate</v>
      </c>
      <c r="L18" s="23" t="str">
        <f>A15</f>
        <v>Phosphite</v>
      </c>
      <c r="M18" s="7"/>
    </row>
    <row r="19" spans="1:13" s="3" customFormat="1" ht="30" customHeight="1" x14ac:dyDescent="0.3">
      <c r="A19" s="14">
        <v>1</v>
      </c>
      <c r="B19" s="10">
        <v>172292</v>
      </c>
      <c r="C19" s="10">
        <v>71718</v>
      </c>
      <c r="D19" s="20"/>
      <c r="E19" s="20"/>
      <c r="F19" s="20"/>
      <c r="G19" s="22"/>
      <c r="H19" s="22"/>
      <c r="I19" s="22"/>
      <c r="J19" s="14" t="s">
        <v>41</v>
      </c>
      <c r="K19" s="10">
        <v>172311</v>
      </c>
      <c r="L19" s="10">
        <v>71905</v>
      </c>
      <c r="M19" s="7"/>
    </row>
    <row r="20" spans="1:13" s="3" customFormat="1" ht="30" customHeight="1" x14ac:dyDescent="0.3">
      <c r="A20" s="14">
        <v>2</v>
      </c>
      <c r="B20" s="10">
        <v>172018</v>
      </c>
      <c r="C20" s="10">
        <v>71902</v>
      </c>
      <c r="D20" s="20"/>
      <c r="E20" s="20"/>
      <c r="F20" s="20"/>
      <c r="G20" s="22"/>
      <c r="H20" s="22"/>
      <c r="I20" s="22"/>
      <c r="J20" s="14" t="s">
        <v>42</v>
      </c>
      <c r="K20" s="10"/>
      <c r="L20" s="10"/>
      <c r="M20" s="7"/>
    </row>
    <row r="21" spans="1:13" s="3" customFormat="1" ht="30" customHeight="1" x14ac:dyDescent="0.3">
      <c r="A21" s="14">
        <v>3</v>
      </c>
      <c r="B21" s="10">
        <v>172296</v>
      </c>
      <c r="C21" s="10">
        <v>71771</v>
      </c>
      <c r="D21" s="20"/>
      <c r="E21" s="20"/>
      <c r="F21" s="20"/>
      <c r="G21" s="22"/>
      <c r="H21" s="22"/>
      <c r="I21" s="22"/>
      <c r="J21" s="14" t="s">
        <v>43</v>
      </c>
      <c r="K21" s="10"/>
      <c r="L21" s="10"/>
      <c r="M21" s="7"/>
    </row>
    <row r="22" spans="1:13" s="3" customFormat="1" ht="30" customHeight="1" x14ac:dyDescent="0.3">
      <c r="A22" s="14">
        <v>4</v>
      </c>
      <c r="B22" s="10">
        <v>172745</v>
      </c>
      <c r="C22" s="10">
        <v>71623</v>
      </c>
      <c r="D22" s="20"/>
      <c r="E22" s="20"/>
      <c r="F22" s="20"/>
      <c r="G22" s="22"/>
      <c r="H22" s="22"/>
      <c r="I22" s="22"/>
      <c r="J22" s="14" t="s">
        <v>44</v>
      </c>
      <c r="K22" s="10"/>
      <c r="L22" s="10"/>
      <c r="M22" s="7"/>
    </row>
    <row r="23" spans="1:13" s="3" customFormat="1" ht="30" customHeight="1" x14ac:dyDescent="0.3">
      <c r="A23" s="14">
        <v>5</v>
      </c>
      <c r="B23" s="10">
        <v>173166</v>
      </c>
      <c r="C23" s="10">
        <v>72016</v>
      </c>
      <c r="D23" s="20"/>
      <c r="E23" s="20"/>
      <c r="F23" s="20"/>
      <c r="G23" s="22"/>
      <c r="H23" s="22"/>
      <c r="I23" s="22"/>
      <c r="J23" s="14" t="s">
        <v>45</v>
      </c>
      <c r="K23" s="10"/>
      <c r="L23" s="10"/>
      <c r="M23" s="7"/>
    </row>
    <row r="24" spans="1:13" s="3" customFormat="1" ht="30" customHeight="1" x14ac:dyDescent="0.3">
      <c r="A24" s="14">
        <v>6</v>
      </c>
      <c r="B24" s="10">
        <v>171737</v>
      </c>
      <c r="C24" s="10">
        <v>72288</v>
      </c>
      <c r="D24" s="20"/>
      <c r="E24" s="20"/>
      <c r="F24" s="20"/>
      <c r="G24" s="22"/>
      <c r="H24" s="22"/>
      <c r="I24" s="22"/>
      <c r="J24" s="14" t="s">
        <v>46</v>
      </c>
      <c r="K24" s="10"/>
      <c r="L24" s="10"/>
      <c r="M24" s="7"/>
    </row>
    <row r="25" spans="1:13" s="3" customFormat="1" ht="30" customHeight="1" x14ac:dyDescent="0.3">
      <c r="A25" s="14" t="s">
        <v>3</v>
      </c>
      <c r="B25" s="25">
        <f>IFERROR((AVERAGE(B19:B24)), "")</f>
        <v>172375.66666666666</v>
      </c>
      <c r="C25" s="25">
        <f>IFERROR((AVERAGE(C19:C24)), "")</f>
        <v>71886.333333333328</v>
      </c>
      <c r="D25" s="20"/>
      <c r="E25" s="20"/>
      <c r="F25" s="20"/>
      <c r="G25" s="22"/>
      <c r="H25" s="22"/>
      <c r="I25" s="22"/>
      <c r="J25" s="14" t="s">
        <v>3</v>
      </c>
      <c r="K25" s="25">
        <f>IFERROR((AVERAGE(B19:B24,K19:K24)), "")</f>
        <v>172366.42857142858</v>
      </c>
      <c r="L25" s="25">
        <f>IFERROR((AVERAGE(C19:C24,L19:L24)), "")</f>
        <v>71889</v>
      </c>
      <c r="M25" s="7"/>
    </row>
    <row r="26" spans="1:13" s="3" customFormat="1" ht="30" customHeight="1" x14ac:dyDescent="0.3">
      <c r="A26" s="14" t="s">
        <v>1</v>
      </c>
      <c r="B26" s="26">
        <f>IFERROR((STDEV(B19:B24)), "")</f>
        <v>511.89868789308952</v>
      </c>
      <c r="C26" s="26">
        <f>IFERROR((STDEV(C19:C24)), "")</f>
        <v>240.57320438208961</v>
      </c>
      <c r="D26" s="20"/>
      <c r="E26" s="20"/>
      <c r="F26" s="20"/>
      <c r="G26" s="22"/>
      <c r="H26" s="22"/>
      <c r="I26" s="22"/>
      <c r="J26" s="14" t="s">
        <v>1</v>
      </c>
      <c r="K26" s="26">
        <f>IFERROR((STDEV(B19:B24,K19:K24)), "")</f>
        <v>467.93619833721533</v>
      </c>
      <c r="L26" s="26">
        <f>IFERROR((STDEV(C19:C24,L19:L24)), "")</f>
        <v>219.72558643301724</v>
      </c>
      <c r="M26" s="7"/>
    </row>
    <row r="27" spans="1:13" s="3" customFormat="1" ht="30" customHeight="1" x14ac:dyDescent="0.3">
      <c r="A27" s="14" t="s">
        <v>4</v>
      </c>
      <c r="B27" s="27">
        <f>IFERROR((B26*100/B25), "")</f>
        <v>0.29696690826030525</v>
      </c>
      <c r="C27" s="27">
        <f>IFERROR((C26*100/C25), "")</f>
        <v>0.33465777600112623</v>
      </c>
      <c r="D27" s="20"/>
      <c r="E27" s="20"/>
      <c r="F27" s="20"/>
      <c r="G27" s="22"/>
      <c r="H27" s="22"/>
      <c r="I27" s="22"/>
      <c r="J27" s="14" t="s">
        <v>4</v>
      </c>
      <c r="K27" s="27">
        <f>IFERROR((K26*100/K25), "")</f>
        <v>0.27147757380335968</v>
      </c>
      <c r="L27" s="27">
        <f>IFERROR((L26*100/L25), "")</f>
        <v>0.30564562927988598</v>
      </c>
      <c r="M27" s="7"/>
    </row>
    <row r="28" spans="1:13" ht="8.25" customHeight="1" x14ac:dyDescent="0.35">
      <c r="A28" s="28"/>
      <c r="B28" s="29"/>
      <c r="C28" s="29"/>
      <c r="D28" s="29"/>
      <c r="E28" s="29"/>
      <c r="F28" s="29"/>
      <c r="G28" s="29"/>
      <c r="H28" s="30"/>
      <c r="I28" s="31"/>
      <c r="J28" s="32"/>
      <c r="K28" s="18"/>
      <c r="L28" s="19"/>
      <c r="M28" s="4"/>
    </row>
    <row r="29" spans="1:13" ht="30" customHeight="1" x14ac:dyDescent="0.25">
      <c r="A29" s="43" t="s">
        <v>8</v>
      </c>
      <c r="B29" s="44"/>
      <c r="C29" s="44"/>
      <c r="D29" s="44"/>
      <c r="E29" s="44"/>
      <c r="F29" s="45"/>
      <c r="G29" s="43" t="s">
        <v>13</v>
      </c>
      <c r="H29" s="45"/>
      <c r="I29" s="43" t="s">
        <v>6</v>
      </c>
      <c r="J29" s="45"/>
      <c r="K29" s="43" t="s">
        <v>22</v>
      </c>
      <c r="L29" s="45"/>
      <c r="M29" s="4"/>
    </row>
    <row r="30" spans="1:13" ht="30" customHeight="1" x14ac:dyDescent="0.25">
      <c r="A30" s="33" t="s">
        <v>5</v>
      </c>
      <c r="B30" s="43" t="s">
        <v>10</v>
      </c>
      <c r="C30" s="45"/>
      <c r="D30" s="33" t="s">
        <v>9</v>
      </c>
      <c r="E30" s="33" t="s">
        <v>20</v>
      </c>
      <c r="F30" s="23" t="s">
        <v>21</v>
      </c>
      <c r="G30" s="23" t="s">
        <v>18</v>
      </c>
      <c r="H30" s="23" t="s">
        <v>18</v>
      </c>
      <c r="I30" s="23" t="str">
        <f>A14</f>
        <v>Phosphate</v>
      </c>
      <c r="J30" s="23" t="str">
        <f>A15</f>
        <v>Phosphite</v>
      </c>
      <c r="K30" s="23" t="str">
        <f>A14</f>
        <v>Phosphate</v>
      </c>
      <c r="L30" s="23" t="str">
        <f>A15</f>
        <v>Phosphite</v>
      </c>
      <c r="M30" s="4"/>
    </row>
    <row r="31" spans="1:13" s="3" customFormat="1" ht="30" customHeight="1" x14ac:dyDescent="0.3">
      <c r="A31" s="9" t="s">
        <v>51</v>
      </c>
      <c r="B31" s="41" t="s">
        <v>52</v>
      </c>
      <c r="C31" s="42"/>
      <c r="D31" s="9" t="s">
        <v>56</v>
      </c>
      <c r="E31" s="9" t="s">
        <v>57</v>
      </c>
      <c r="F31" s="10">
        <v>24</v>
      </c>
      <c r="G31" s="10">
        <v>4</v>
      </c>
      <c r="H31" s="10">
        <v>20</v>
      </c>
      <c r="I31" s="10">
        <v>4824</v>
      </c>
      <c r="J31" s="10">
        <v>39878</v>
      </c>
      <c r="K31" s="34">
        <f>IFERROR((I31/$B$25*$E$14/$F$14*$G$14/$H$14*$I$14/$J$14*H31/G31*$K$14/F31*$C$14/$D$14), "")</f>
        <v>5.6143089410323921E-2</v>
      </c>
      <c r="L31" s="34">
        <f>IFERROR((J31/$C$25*$E$15/$F$15*$G$15/$H$15*$I$15/$J$15*H31/G31*$K$15/F31*$C$15/$D$15), "")</f>
        <v>0.56158609939557347</v>
      </c>
      <c r="M31" s="7"/>
    </row>
    <row r="32" spans="1:13" s="3" customFormat="1" ht="30" customHeight="1" x14ac:dyDescent="0.3">
      <c r="A32" s="9" t="s">
        <v>51</v>
      </c>
      <c r="B32" s="41" t="s">
        <v>53</v>
      </c>
      <c r="C32" s="42"/>
      <c r="D32" s="9" t="s">
        <v>56</v>
      </c>
      <c r="E32" s="9" t="s">
        <v>57</v>
      </c>
      <c r="F32" s="10">
        <v>24</v>
      </c>
      <c r="G32" s="10">
        <v>4</v>
      </c>
      <c r="H32" s="10">
        <v>20</v>
      </c>
      <c r="I32" s="10">
        <v>6036</v>
      </c>
      <c r="J32" s="10">
        <v>45410</v>
      </c>
      <c r="K32" s="34">
        <f t="shared" ref="K32:K43" si="0">IFERROR((I32/$B$25*$E$14/$F$14*$G$14/$H$14*$I$14/$J$14*H32/G32*$K$14/F32*$C$14/$D$14), "")</f>
        <v>7.0248691476101813E-2</v>
      </c>
      <c r="L32" s="34">
        <f t="shared" ref="L32:L43" si="1">IFERROR((J32/$C$25*$E$15/$F$15*$G$15/$H$15*$I$15/$J$15*H32/G32*$K$15/F32*$C$15/$D$15), "")</f>
        <v>0.63949106709345971</v>
      </c>
      <c r="M32" s="7"/>
    </row>
    <row r="33" spans="1:13" s="3" customFormat="1" ht="30" customHeight="1" x14ac:dyDescent="0.3">
      <c r="A33" s="9"/>
      <c r="B33" s="41"/>
      <c r="C33" s="42"/>
      <c r="D33" s="9"/>
      <c r="E33" s="9"/>
      <c r="F33" s="10"/>
      <c r="G33" s="10"/>
      <c r="H33" s="10"/>
      <c r="I33" s="10"/>
      <c r="J33" s="10"/>
      <c r="K33" s="34" t="str">
        <f t="shared" si="0"/>
        <v/>
      </c>
      <c r="L33" s="34" t="str">
        <f t="shared" si="1"/>
        <v/>
      </c>
      <c r="M33" s="7"/>
    </row>
    <row r="34" spans="1:13" s="3" customFormat="1" ht="30" customHeight="1" x14ac:dyDescent="0.3">
      <c r="A34" s="9"/>
      <c r="B34" s="41"/>
      <c r="C34" s="42"/>
      <c r="D34" s="9"/>
      <c r="E34" s="9"/>
      <c r="F34" s="10"/>
      <c r="G34" s="10"/>
      <c r="H34" s="10"/>
      <c r="I34" s="10"/>
      <c r="J34" s="10"/>
      <c r="K34" s="34" t="str">
        <f t="shared" si="0"/>
        <v/>
      </c>
      <c r="L34" s="34" t="str">
        <f t="shared" si="1"/>
        <v/>
      </c>
      <c r="M34" s="7"/>
    </row>
    <row r="35" spans="1:13" s="3" customFormat="1" ht="30" customHeight="1" x14ac:dyDescent="0.3">
      <c r="A35" s="9"/>
      <c r="B35" s="41"/>
      <c r="C35" s="42"/>
      <c r="D35" s="9"/>
      <c r="E35" s="9"/>
      <c r="F35" s="10"/>
      <c r="G35" s="10"/>
      <c r="H35" s="10"/>
      <c r="I35" s="10"/>
      <c r="J35" s="10"/>
      <c r="K35" s="34" t="str">
        <f t="shared" si="0"/>
        <v/>
      </c>
      <c r="L35" s="34" t="str">
        <f t="shared" si="1"/>
        <v/>
      </c>
      <c r="M35" s="7"/>
    </row>
    <row r="36" spans="1:13" s="3" customFormat="1" ht="30" customHeight="1" x14ac:dyDescent="0.3">
      <c r="A36" s="9"/>
      <c r="B36" s="41"/>
      <c r="C36" s="42"/>
      <c r="D36" s="9"/>
      <c r="E36" s="9"/>
      <c r="F36" s="10"/>
      <c r="G36" s="10"/>
      <c r="H36" s="10"/>
      <c r="I36" s="10"/>
      <c r="J36" s="10"/>
      <c r="K36" s="34" t="str">
        <f t="shared" si="0"/>
        <v/>
      </c>
      <c r="L36" s="34" t="str">
        <f t="shared" si="1"/>
        <v/>
      </c>
      <c r="M36" s="7"/>
    </row>
    <row r="37" spans="1:13" s="3" customFormat="1" ht="30" customHeight="1" x14ac:dyDescent="0.3">
      <c r="A37" s="9"/>
      <c r="B37" s="41"/>
      <c r="C37" s="42"/>
      <c r="D37" s="9"/>
      <c r="E37" s="9"/>
      <c r="F37" s="10"/>
      <c r="G37" s="10"/>
      <c r="H37" s="10"/>
      <c r="I37" s="10"/>
      <c r="J37" s="10"/>
      <c r="K37" s="34" t="str">
        <f t="shared" si="0"/>
        <v/>
      </c>
      <c r="L37" s="34" t="str">
        <f t="shared" si="1"/>
        <v/>
      </c>
      <c r="M37" s="7"/>
    </row>
    <row r="38" spans="1:13" s="3" customFormat="1" ht="30" customHeight="1" x14ac:dyDescent="0.3">
      <c r="A38" s="9"/>
      <c r="B38" s="41"/>
      <c r="C38" s="42"/>
      <c r="D38" s="9"/>
      <c r="E38" s="9"/>
      <c r="F38" s="10"/>
      <c r="G38" s="10"/>
      <c r="H38" s="10"/>
      <c r="I38" s="10"/>
      <c r="J38" s="10"/>
      <c r="K38" s="34" t="str">
        <f t="shared" si="0"/>
        <v/>
      </c>
      <c r="L38" s="34" t="str">
        <f t="shared" si="1"/>
        <v/>
      </c>
      <c r="M38" s="7"/>
    </row>
    <row r="39" spans="1:13" s="3" customFormat="1" ht="30" customHeight="1" x14ac:dyDescent="0.3">
      <c r="A39" s="9"/>
      <c r="B39" s="41"/>
      <c r="C39" s="42"/>
      <c r="D39" s="9"/>
      <c r="E39" s="9"/>
      <c r="F39" s="10"/>
      <c r="G39" s="10"/>
      <c r="H39" s="10"/>
      <c r="I39" s="10"/>
      <c r="J39" s="10"/>
      <c r="K39" s="34" t="str">
        <f t="shared" si="0"/>
        <v/>
      </c>
      <c r="L39" s="34" t="str">
        <f t="shared" si="1"/>
        <v/>
      </c>
      <c r="M39" s="7"/>
    </row>
    <row r="40" spans="1:13" s="3" customFormat="1" ht="30" customHeight="1" x14ac:dyDescent="0.3">
      <c r="A40" s="9"/>
      <c r="B40" s="41"/>
      <c r="C40" s="42"/>
      <c r="D40" s="9"/>
      <c r="E40" s="9"/>
      <c r="F40" s="10"/>
      <c r="G40" s="10"/>
      <c r="H40" s="10"/>
      <c r="I40" s="10"/>
      <c r="J40" s="10"/>
      <c r="K40" s="34" t="str">
        <f t="shared" si="0"/>
        <v/>
      </c>
      <c r="L40" s="34" t="str">
        <f t="shared" si="1"/>
        <v/>
      </c>
      <c r="M40" s="7"/>
    </row>
    <row r="41" spans="1:13" s="3" customFormat="1" ht="30" customHeight="1" x14ac:dyDescent="0.3">
      <c r="A41" s="9"/>
      <c r="B41" s="41"/>
      <c r="C41" s="42"/>
      <c r="D41" s="9"/>
      <c r="E41" s="9"/>
      <c r="F41" s="10"/>
      <c r="G41" s="10"/>
      <c r="H41" s="10"/>
      <c r="I41" s="10"/>
      <c r="J41" s="10"/>
      <c r="K41" s="34" t="str">
        <f t="shared" si="0"/>
        <v/>
      </c>
      <c r="L41" s="34" t="str">
        <f t="shared" si="1"/>
        <v/>
      </c>
      <c r="M41" s="7"/>
    </row>
    <row r="42" spans="1:13" s="3" customFormat="1" ht="30" customHeight="1" x14ac:dyDescent="0.3">
      <c r="A42" s="9"/>
      <c r="B42" s="41"/>
      <c r="C42" s="42"/>
      <c r="D42" s="9"/>
      <c r="E42" s="9"/>
      <c r="F42" s="10"/>
      <c r="G42" s="10"/>
      <c r="H42" s="10"/>
      <c r="I42" s="10"/>
      <c r="J42" s="10"/>
      <c r="K42" s="34" t="str">
        <f t="shared" si="0"/>
        <v/>
      </c>
      <c r="L42" s="34" t="str">
        <f t="shared" si="1"/>
        <v/>
      </c>
      <c r="M42" s="7"/>
    </row>
    <row r="43" spans="1:13" s="3" customFormat="1" ht="30" customHeight="1" x14ac:dyDescent="0.3">
      <c r="A43" s="9"/>
      <c r="B43" s="41"/>
      <c r="C43" s="42"/>
      <c r="D43" s="9"/>
      <c r="E43" s="9"/>
      <c r="F43" s="10"/>
      <c r="G43" s="10"/>
      <c r="H43" s="10"/>
      <c r="I43" s="10"/>
      <c r="J43" s="10"/>
      <c r="K43" s="34" t="str">
        <f t="shared" si="0"/>
        <v/>
      </c>
      <c r="L43" s="34" t="str">
        <f t="shared" si="1"/>
        <v/>
      </c>
      <c r="M43" s="7"/>
    </row>
    <row r="44" spans="1:13" ht="9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20.100000000000001" customHeight="1" x14ac:dyDescent="0.25">
      <c r="A45" s="46" t="s">
        <v>35</v>
      </c>
      <c r="B45" s="47"/>
      <c r="C45" s="47"/>
      <c r="D45" s="47"/>
      <c r="E45" s="47"/>
      <c r="F45" s="4"/>
      <c r="G45" s="46" t="s">
        <v>38</v>
      </c>
      <c r="H45" s="47"/>
      <c r="I45" s="47"/>
      <c r="J45" s="47"/>
      <c r="K45" s="47"/>
      <c r="L45" s="47"/>
      <c r="M45" s="4"/>
    </row>
    <row r="46" spans="1:13" ht="20.100000000000001" customHeight="1" x14ac:dyDescent="0.25">
      <c r="A46" s="46"/>
      <c r="B46" s="47"/>
      <c r="C46" s="47"/>
      <c r="D46" s="47"/>
      <c r="E46" s="47"/>
      <c r="F46" s="8"/>
      <c r="G46" s="46"/>
      <c r="H46" s="47"/>
      <c r="I46" s="47"/>
      <c r="J46" s="47"/>
      <c r="K46" s="47"/>
      <c r="L46" s="47"/>
      <c r="M46" s="4"/>
    </row>
    <row r="47" spans="1:13" ht="20.100000000000001" customHeight="1" x14ac:dyDescent="0.25">
      <c r="A47" s="46"/>
      <c r="B47" s="47"/>
      <c r="C47" s="47"/>
      <c r="D47" s="47"/>
      <c r="E47" s="47"/>
      <c r="F47" s="8"/>
      <c r="G47" s="46"/>
      <c r="H47" s="47"/>
      <c r="I47" s="47"/>
      <c r="J47" s="47"/>
      <c r="K47" s="47"/>
      <c r="L47" s="47"/>
      <c r="M47" s="4"/>
    </row>
    <row r="48" spans="1:13" ht="7.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3:13" ht="20.100000000000001" customHeight="1" x14ac:dyDescent="0.25"/>
    <row r="50" spans="13:13" ht="19.5" customHeight="1" x14ac:dyDescent="0.25"/>
    <row r="51" spans="13:13" ht="20.100000000000001" customHeight="1" x14ac:dyDescent="0.25"/>
    <row r="52" spans="13:13" ht="20.100000000000001" customHeight="1" x14ac:dyDescent="0.25"/>
    <row r="53" spans="13:13" ht="20.100000000000001" customHeight="1" x14ac:dyDescent="0.25"/>
    <row r="54" spans="13:13" ht="20.100000000000001" customHeight="1" x14ac:dyDescent="0.25"/>
    <row r="55" spans="13:13" ht="20.100000000000001" customHeight="1" x14ac:dyDescent="0.25"/>
    <row r="56" spans="13:13" ht="20.100000000000001" customHeight="1" x14ac:dyDescent="0.25"/>
    <row r="57" spans="13:13" ht="20.100000000000001" customHeight="1" x14ac:dyDescent="0.25"/>
    <row r="63" spans="13:13" x14ac:dyDescent="0.25">
      <c r="M63" s="1" t="s">
        <v>15</v>
      </c>
    </row>
  </sheetData>
  <mergeCells count="37">
    <mergeCell ref="A45:A47"/>
    <mergeCell ref="B45:E47"/>
    <mergeCell ref="G45:G47"/>
    <mergeCell ref="H45:L47"/>
    <mergeCell ref="B38:C38"/>
    <mergeCell ref="B39:C39"/>
    <mergeCell ref="B40:C40"/>
    <mergeCell ref="B41:C41"/>
    <mergeCell ref="B42:C42"/>
    <mergeCell ref="B43:C43"/>
    <mergeCell ref="B37:C37"/>
    <mergeCell ref="A29:F29"/>
    <mergeCell ref="G29:H29"/>
    <mergeCell ref="I29:J29"/>
    <mergeCell ref="K29:L29"/>
    <mergeCell ref="B30:C30"/>
    <mergeCell ref="B31:C31"/>
    <mergeCell ref="B32:C32"/>
    <mergeCell ref="B33:C33"/>
    <mergeCell ref="B34:C34"/>
    <mergeCell ref="B35:C35"/>
    <mergeCell ref="B36:C36"/>
    <mergeCell ref="A17:A18"/>
    <mergeCell ref="B17:C17"/>
    <mergeCell ref="J17:J18"/>
    <mergeCell ref="K17:L17"/>
    <mergeCell ref="A1:L1"/>
    <mergeCell ref="A2:L2"/>
    <mergeCell ref="A3:L3"/>
    <mergeCell ref="A4:L4"/>
    <mergeCell ref="B6:L6"/>
    <mergeCell ref="B7:L7"/>
    <mergeCell ref="B8:L8"/>
    <mergeCell ref="B9:L9"/>
    <mergeCell ref="B10:L10"/>
    <mergeCell ref="B11:L11"/>
    <mergeCell ref="A12:L12"/>
  </mergeCells>
  <pageMargins left="0.31496062992125984" right="0.19685039370078741" top="0.19685039370078741" bottom="0.19685039370078741" header="0" footer="0"/>
  <pageSetup paperSize="9" scale="44" orientation="landscape" r:id="rId1"/>
  <headerFooter>
    <oddFooter>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</vt:lpstr>
      <vt:lpstr>'Sheet1 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kriti.tyagi</dc:creator>
  <cp:lastModifiedBy>Kathrotia, Tarang</cp:lastModifiedBy>
  <cp:lastPrinted>2025-03-31T10:15:13Z</cp:lastPrinted>
  <dcterms:created xsi:type="dcterms:W3CDTF">2014-10-16T06:50:27Z</dcterms:created>
  <dcterms:modified xsi:type="dcterms:W3CDTF">2026-06-24T11:06:48Z</dcterms:modified>
</cp:coreProperties>
</file>