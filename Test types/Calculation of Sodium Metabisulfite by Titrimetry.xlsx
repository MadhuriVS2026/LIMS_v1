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defaultThemeVersion="124226"/>
  <xr:revisionPtr revIDLastSave="0" documentId="13_ncr:1_{A6A6190F-4521-4B05-A169-148A8BBDA236}" xr6:coauthVersionLast="36" xr6:coauthVersionMax="36" xr10:uidLastSave="{00000000-0000-0000-0000-000000000000}"/>
  <bookViews>
    <workbookView xWindow="0" yWindow="0" windowWidth="28800" windowHeight="12216" tabRatio="702" xr2:uid="{00000000-000D-0000-FFFF-FFFF00000000}"/>
  </bookViews>
  <sheets>
    <sheet name="Initial " sheetId="59" r:id="rId1"/>
  </sheets>
  <definedNames>
    <definedName name="_xlnm.Print_Area" localSheetId="0">'Initial '!$A$1:$M$52</definedName>
  </definedNames>
  <calcPr calcId="191029"/>
</workbook>
</file>

<file path=xl/calcChain.xml><?xml version="1.0" encoding="utf-8"?>
<calcChain xmlns="http://schemas.openxmlformats.org/spreadsheetml/2006/main">
  <c r="I21" i="59" l="1"/>
  <c r="J21" i="59"/>
  <c r="I15" i="59"/>
  <c r="I41" i="59"/>
  <c r="I17" i="59"/>
  <c r="I19" i="59"/>
  <c r="I23" i="59"/>
  <c r="I25" i="59"/>
  <c r="I27" i="59"/>
  <c r="I29" i="59"/>
  <c r="I31" i="59"/>
  <c r="I33" i="59"/>
  <c r="I35" i="59"/>
  <c r="I37" i="59"/>
  <c r="I39" i="59"/>
  <c r="I43" i="59"/>
  <c r="I45" i="59"/>
  <c r="J19" i="59"/>
  <c r="K19" i="59" s="1"/>
  <c r="L19" i="59" s="1"/>
  <c r="J23" i="59"/>
  <c r="K23" i="59" s="1"/>
  <c r="J25" i="59"/>
  <c r="K25" i="59" s="1"/>
  <c r="J27" i="59"/>
  <c r="J29" i="59"/>
  <c r="J31" i="59"/>
  <c r="K31" i="59" s="1"/>
  <c r="J33" i="59"/>
  <c r="K33" i="59" s="1"/>
  <c r="L33" i="59" s="1"/>
  <c r="J35" i="59"/>
  <c r="K35" i="59" s="1"/>
  <c r="J37" i="59"/>
  <c r="J39" i="59"/>
  <c r="K39" i="59" s="1"/>
  <c r="J41" i="59"/>
  <c r="K41" i="59" s="1"/>
  <c r="J43" i="59"/>
  <c r="K43" i="59" s="1"/>
  <c r="J45" i="59"/>
  <c r="K45" i="59" s="1"/>
  <c r="J17" i="59"/>
  <c r="J15" i="59"/>
  <c r="K37" i="59" l="1"/>
  <c r="L37" i="59" s="1"/>
  <c r="K29" i="59"/>
  <c r="K27" i="59"/>
  <c r="K17" i="59"/>
  <c r="L17" i="59" s="1"/>
  <c r="K21" i="59"/>
  <c r="L21" i="59" s="1"/>
  <c r="M19" i="59" s="1"/>
  <c r="L25" i="59"/>
  <c r="K15" i="59"/>
  <c r="L15" i="59" s="1"/>
  <c r="L41" i="59"/>
  <c r="L31" i="59"/>
  <c r="M31" i="59" s="1"/>
  <c r="L45" i="59"/>
  <c r="L29" i="59"/>
  <c r="L39" i="59"/>
  <c r="L23" i="59"/>
  <c r="L43" i="59"/>
  <c r="L35" i="59"/>
  <c r="L27" i="59"/>
  <c r="M43" i="59" l="1"/>
  <c r="M15" i="59"/>
  <c r="M23" i="59"/>
  <c r="M27" i="59"/>
  <c r="M39" i="59"/>
  <c r="M35" i="59"/>
</calcChain>
</file>

<file path=xl/sharedStrings.xml><?xml version="1.0" encoding="utf-8"?>
<sst xmlns="http://schemas.openxmlformats.org/spreadsheetml/2006/main" count="45" uniqueCount="40">
  <si>
    <t>TRF No.</t>
  </si>
  <si>
    <t>AR No.</t>
  </si>
  <si>
    <t>Checked By</t>
  </si>
  <si>
    <t>Analyzed By</t>
  </si>
  <si>
    <t>Stability Condition</t>
  </si>
  <si>
    <t>Batch No.</t>
  </si>
  <si>
    <t>Analytical Development</t>
  </si>
  <si>
    <t>Product Name</t>
  </si>
  <si>
    <t>Test</t>
  </si>
  <si>
    <t>Analysis as per</t>
  </si>
  <si>
    <t>Date of Analysis</t>
  </si>
  <si>
    <t>Sample Details</t>
  </si>
  <si>
    <t>Emcure</t>
  </si>
  <si>
    <t>Packing 
Detail</t>
  </si>
  <si>
    <t>NA</t>
  </si>
  <si>
    <t>Instrument ID</t>
  </si>
  <si>
    <t>Content by Titrimetry Calculation Sheet</t>
  </si>
  <si>
    <t>K2Cr2O7</t>
  </si>
  <si>
    <t>Normality of  (N)</t>
  </si>
  <si>
    <t>Factor</t>
  </si>
  <si>
    <t>ml of Titrant</t>
  </si>
  <si>
    <t>mg/ml</t>
  </si>
  <si>
    <t>Normality</t>
  </si>
  <si>
    <t>ml of Sample</t>
  </si>
  <si>
    <t>Analyzed 
By</t>
  </si>
  <si>
    <t>L.C.  Of Sodium metabisulfite</t>
  </si>
  <si>
    <t>% 
Result</t>
  </si>
  <si>
    <t>% 
Mean</t>
  </si>
  <si>
    <t>Content of Sodium Metabisulfite</t>
  </si>
  <si>
    <t>LNB No.</t>
  </si>
  <si>
    <t>Initial_Set-1</t>
  </si>
  <si>
    <t>Initial_Set-2</t>
  </si>
  <si>
    <t>Amikacin Sulfate Injection USP 250mg/mL</t>
  </si>
  <si>
    <t xml:space="preserve">QC-DP-MOA-006-05 (For US Market) </t>
  </si>
  <si>
    <t>Glass Vial</t>
  </si>
  <si>
    <t>Divyang Patel</t>
  </si>
  <si>
    <t>EP20_336-350
(US Market)</t>
  </si>
  <si>
    <t>TRF_061-24-79</t>
  </si>
  <si>
    <t>AD/008/24/0638</t>
  </si>
  <si>
    <t>R &amp; D 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</si>
</sst>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Arial"/>
      <family val="2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rgb="FFFF0000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sz val="24"/>
      <name val="Arial"/>
      <family val="2"/>
    </font>
    <font>
      <b/>
      <sz val="26"/>
      <color theme="1"/>
      <name val="Arial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0" borderId="0" xfId="0" applyFont="1" applyFill="1" applyProtection="1">
      <protection hidden="1"/>
    </xf>
    <xf numFmtId="0" fontId="3" fillId="0" borderId="0" xfId="0" applyFont="1" applyFill="1" applyBorder="1" applyProtection="1">
      <protection hidden="1"/>
    </xf>
    <xf numFmtId="0" fontId="3" fillId="0" borderId="0" xfId="0" applyFont="1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1" fillId="0" borderId="0" xfId="0" applyFont="1" applyFill="1" applyProtection="1"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1" fillId="0" borderId="0" xfId="0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vertical="center"/>
      <protection hidden="1"/>
    </xf>
    <xf numFmtId="0" fontId="5" fillId="0" borderId="0" xfId="0" applyFont="1" applyFill="1" applyBorder="1" applyProtection="1">
      <protection hidden="1"/>
    </xf>
    <xf numFmtId="0" fontId="5" fillId="0" borderId="0" xfId="0" applyFont="1" applyFill="1" applyBorder="1" applyAlignment="1" applyProtection="1">
      <alignment horizontal="center"/>
      <protection hidden="1"/>
    </xf>
    <xf numFmtId="0" fontId="4" fillId="0" borderId="20" xfId="0" applyFont="1" applyFill="1" applyBorder="1" applyAlignment="1" applyProtection="1">
      <alignment horizontal="center" vertical="center" wrapText="1"/>
      <protection hidden="1"/>
    </xf>
    <xf numFmtId="0" fontId="8" fillId="0" borderId="8" xfId="0" applyFont="1" applyFill="1" applyBorder="1" applyAlignment="1" applyProtection="1">
      <alignment vertical="center"/>
      <protection hidden="1"/>
    </xf>
    <xf numFmtId="0" fontId="8" fillId="0" borderId="9" xfId="0" applyFont="1" applyFill="1" applyBorder="1" applyAlignment="1" applyProtection="1">
      <alignment vertical="center"/>
      <protection hidden="1"/>
    </xf>
    <xf numFmtId="0" fontId="3" fillId="0" borderId="21" xfId="0" applyFont="1" applyFill="1" applyBorder="1" applyProtection="1">
      <protection hidden="1"/>
    </xf>
    <xf numFmtId="0" fontId="0" fillId="0" borderId="25" xfId="0" applyFill="1" applyBorder="1" applyProtection="1">
      <protection hidden="1"/>
    </xf>
    <xf numFmtId="0" fontId="1" fillId="0" borderId="25" xfId="0" applyFont="1" applyFill="1" applyBorder="1" applyProtection="1">
      <protection hidden="1"/>
    </xf>
    <xf numFmtId="0" fontId="1" fillId="0" borderId="0" xfId="0" applyFont="1" applyFill="1" applyBorder="1" applyProtection="1">
      <protection hidden="1"/>
    </xf>
    <xf numFmtId="0" fontId="5" fillId="0" borderId="21" xfId="0" applyFont="1" applyFill="1" applyBorder="1" applyProtection="1">
      <protection hidden="1"/>
    </xf>
    <xf numFmtId="0" fontId="5" fillId="0" borderId="25" xfId="0" applyFont="1" applyFill="1" applyBorder="1" applyProtection="1">
      <protection hidden="1"/>
    </xf>
    <xf numFmtId="0" fontId="1" fillId="0" borderId="21" xfId="0" applyFont="1" applyFill="1" applyBorder="1" applyProtection="1">
      <protection hidden="1"/>
    </xf>
    <xf numFmtId="0" fontId="1" fillId="0" borderId="26" xfId="0" applyFont="1" applyFill="1" applyBorder="1" applyAlignment="1" applyProtection="1">
      <alignment horizontal="center"/>
      <protection hidden="1"/>
    </xf>
    <xf numFmtId="0" fontId="8" fillId="0" borderId="10" xfId="0" applyFont="1" applyFill="1" applyBorder="1" applyAlignment="1" applyProtection="1">
      <alignment horizontal="left" vertical="center"/>
      <protection hidden="1"/>
    </xf>
    <xf numFmtId="0" fontId="4" fillId="0" borderId="4" xfId="0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Fill="1" applyBorder="1" applyAlignment="1" applyProtection="1">
      <alignment horizontal="center" wrapText="1"/>
      <protection hidden="1"/>
    </xf>
    <xf numFmtId="0" fontId="4" fillId="0" borderId="0" xfId="0" applyFont="1" applyFill="1" applyBorder="1" applyAlignment="1" applyProtection="1">
      <alignment horizontal="center"/>
      <protection hidden="1"/>
    </xf>
    <xf numFmtId="0" fontId="5" fillId="0" borderId="0" xfId="0" applyFont="1" applyFill="1" applyBorder="1" applyAlignment="1" applyProtection="1">
      <alignment vertical="center"/>
      <protection locked="0"/>
    </xf>
    <xf numFmtId="0" fontId="9" fillId="0" borderId="0" xfId="0" applyFont="1" applyFill="1" applyBorder="1" applyAlignment="1" applyProtection="1">
      <alignment vertical="center"/>
      <protection locked="0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horizontal="center" vertical="center" wrapText="1"/>
      <protection hidden="1"/>
    </xf>
    <xf numFmtId="0" fontId="11" fillId="0" borderId="9" xfId="0" applyFont="1" applyFill="1" applyBorder="1" applyAlignment="1" applyProtection="1">
      <alignment vertical="center" wrapText="1"/>
      <protection hidden="1"/>
    </xf>
    <xf numFmtId="0" fontId="11" fillId="0" borderId="9" xfId="0" applyFont="1" applyFill="1" applyBorder="1" applyAlignment="1" applyProtection="1">
      <alignment horizontal="left" vertical="center" wrapText="1"/>
      <protection hidden="1"/>
    </xf>
    <xf numFmtId="165" fontId="11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11" fillId="0" borderId="22" xfId="0" applyFont="1" applyFill="1" applyBorder="1" applyAlignment="1" applyProtection="1">
      <alignment horizontal="left" vertical="top" wrapText="1"/>
      <protection hidden="1"/>
    </xf>
    <xf numFmtId="0" fontId="11" fillId="0" borderId="23" xfId="0" applyFont="1" applyFill="1" applyBorder="1" applyAlignment="1" applyProtection="1">
      <alignment horizontal="left" vertical="top" wrapText="1"/>
      <protection hidden="1"/>
    </xf>
    <xf numFmtId="0" fontId="11" fillId="0" borderId="24" xfId="0" applyFont="1" applyFill="1" applyBorder="1" applyAlignment="1" applyProtection="1">
      <alignment horizontal="left" vertical="top" wrapText="1"/>
      <protection hidden="1"/>
    </xf>
    <xf numFmtId="0" fontId="1" fillId="0" borderId="34" xfId="0" applyFont="1" applyFill="1" applyBorder="1" applyAlignment="1" applyProtection="1">
      <alignment horizontal="center" vertical="top"/>
      <protection locked="0" hidden="1"/>
    </xf>
    <xf numFmtId="0" fontId="1" fillId="0" borderId="35" xfId="0" applyFont="1" applyFill="1" applyBorder="1" applyAlignment="1" applyProtection="1">
      <alignment horizontal="center" vertical="top"/>
      <protection locked="0" hidden="1"/>
    </xf>
    <xf numFmtId="0" fontId="1" fillId="0" borderId="36" xfId="0" applyFont="1" applyFill="1" applyBorder="1" applyAlignment="1" applyProtection="1">
      <alignment horizontal="center" vertical="top"/>
      <protection locked="0" hidden="1"/>
    </xf>
    <xf numFmtId="0" fontId="1" fillId="0" borderId="21" xfId="0" applyFont="1" applyFill="1" applyBorder="1" applyAlignment="1" applyProtection="1">
      <alignment horizontal="center" vertical="top"/>
      <protection locked="0" hidden="1"/>
    </xf>
    <xf numFmtId="0" fontId="1" fillId="0" borderId="0" xfId="0" applyFont="1" applyFill="1" applyBorder="1" applyAlignment="1" applyProtection="1">
      <alignment horizontal="center" vertical="top"/>
      <protection locked="0" hidden="1"/>
    </xf>
    <xf numFmtId="0" fontId="1" fillId="0" borderId="25" xfId="0" applyFont="1" applyFill="1" applyBorder="1" applyAlignment="1" applyProtection="1">
      <alignment horizontal="center" vertical="top"/>
      <protection locked="0" hidden="1"/>
    </xf>
    <xf numFmtId="0" fontId="1" fillId="0" borderId="27" xfId="0" applyFont="1" applyFill="1" applyBorder="1" applyAlignment="1" applyProtection="1">
      <alignment horizontal="center" vertical="top"/>
      <protection locked="0" hidden="1"/>
    </xf>
    <xf numFmtId="0" fontId="1" fillId="0" borderId="26" xfId="0" applyFont="1" applyFill="1" applyBorder="1" applyAlignment="1" applyProtection="1">
      <alignment horizontal="center" vertical="top"/>
      <protection locked="0" hidden="1"/>
    </xf>
    <xf numFmtId="0" fontId="1" fillId="0" borderId="37" xfId="0" applyFont="1" applyFill="1" applyBorder="1" applyAlignment="1" applyProtection="1">
      <alignment horizontal="center" vertical="top"/>
      <protection locked="0" hidden="1"/>
    </xf>
    <xf numFmtId="164" fontId="12" fillId="3" borderId="3" xfId="0" applyNumberFormat="1" applyFont="1" applyFill="1" applyBorder="1" applyAlignment="1" applyProtection="1">
      <alignment horizontal="center" vertical="center" wrapText="1"/>
      <protection locked="0"/>
    </xf>
    <xf numFmtId="164" fontId="12" fillId="3" borderId="1" xfId="0" applyNumberFormat="1" applyFont="1" applyFill="1" applyBorder="1" applyAlignment="1" applyProtection="1">
      <alignment horizontal="center" vertical="center" wrapText="1"/>
      <protection locked="0"/>
    </xf>
    <xf numFmtId="165" fontId="12" fillId="0" borderId="3" xfId="0" applyNumberFormat="1" applyFont="1" applyFill="1" applyBorder="1" applyAlignment="1" applyProtection="1">
      <alignment horizontal="center" vertical="center" wrapText="1"/>
    </xf>
    <xf numFmtId="165" fontId="12" fillId="0" borderId="1" xfId="0" applyNumberFormat="1" applyFont="1" applyFill="1" applyBorder="1" applyAlignment="1" applyProtection="1">
      <alignment horizontal="center" vertical="center" wrapText="1"/>
    </xf>
    <xf numFmtId="164" fontId="12" fillId="0" borderId="3" xfId="0" applyNumberFormat="1" applyFont="1" applyFill="1" applyBorder="1" applyAlignment="1" applyProtection="1">
      <alignment horizontal="center" vertical="center" wrapText="1"/>
    </xf>
    <xf numFmtId="164" fontId="12" fillId="0" borderId="1" xfId="0" applyNumberFormat="1" applyFont="1" applyFill="1" applyBorder="1" applyAlignment="1" applyProtection="1">
      <alignment horizontal="center" vertical="center" wrapText="1"/>
    </xf>
    <xf numFmtId="0" fontId="5" fillId="2" borderId="6" xfId="0" applyFont="1" applyFill="1" applyBorder="1" applyAlignment="1" applyProtection="1">
      <alignment horizontal="left" vertical="center" wrapText="1"/>
      <protection locked="0"/>
    </xf>
    <xf numFmtId="0" fontId="5" fillId="2" borderId="9" xfId="0" applyFont="1" applyFill="1" applyBorder="1" applyAlignment="1" applyProtection="1">
      <alignment horizontal="left" vertical="center" wrapText="1"/>
      <protection locked="0"/>
    </xf>
    <xf numFmtId="164" fontId="11" fillId="0" borderId="42" xfId="0" applyNumberFormat="1" applyFont="1" applyFill="1" applyBorder="1" applyAlignment="1" applyProtection="1">
      <alignment horizontal="center" vertical="center"/>
    </xf>
    <xf numFmtId="164" fontId="11" fillId="0" borderId="31" xfId="0" applyNumberFormat="1" applyFont="1" applyFill="1" applyBorder="1" applyAlignment="1" applyProtection="1">
      <alignment horizontal="center" vertical="center"/>
    </xf>
    <xf numFmtId="164" fontId="11" fillId="0" borderId="30" xfId="0" applyNumberFormat="1" applyFont="1" applyFill="1" applyBorder="1" applyAlignment="1" applyProtection="1">
      <alignment horizontal="center" vertical="center"/>
    </xf>
    <xf numFmtId="0" fontId="5" fillId="2" borderId="10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5" fillId="2" borderId="7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1" fontId="12" fillId="3" borderId="1" xfId="0" applyNumberFormat="1" applyFont="1" applyFill="1" applyBorder="1" applyAlignment="1" applyProtection="1">
      <alignment horizontal="center" vertical="center" wrapText="1"/>
      <protection locked="0"/>
    </xf>
    <xf numFmtId="1" fontId="12" fillId="3" borderId="7" xfId="0" applyNumberFormat="1" applyFont="1" applyFill="1" applyBorder="1" applyAlignment="1" applyProtection="1">
      <alignment horizontal="center" vertical="center" wrapText="1"/>
      <protection locked="0"/>
    </xf>
    <xf numFmtId="164" fontId="12" fillId="3" borderId="7" xfId="0" applyNumberFormat="1" applyFont="1" applyFill="1" applyBorder="1" applyAlignment="1" applyProtection="1">
      <alignment horizontal="center" vertical="center" wrapText="1"/>
      <protection locked="0"/>
    </xf>
    <xf numFmtId="164" fontId="12" fillId="0" borderId="7" xfId="0" applyNumberFormat="1" applyFont="1" applyFill="1" applyBorder="1" applyAlignment="1" applyProtection="1">
      <alignment horizontal="center" vertical="center" wrapText="1"/>
    </xf>
    <xf numFmtId="165" fontId="12" fillId="0" borderId="7" xfId="0" applyNumberFormat="1" applyFont="1" applyFill="1" applyBorder="1" applyAlignment="1" applyProtection="1">
      <alignment horizontal="center" vertical="center" wrapText="1"/>
    </xf>
    <xf numFmtId="2" fontId="12" fillId="0" borderId="12" xfId="0" applyNumberFormat="1" applyFont="1" applyFill="1" applyBorder="1" applyAlignment="1" applyProtection="1">
      <alignment horizontal="center" vertical="center" wrapText="1"/>
    </xf>
    <xf numFmtId="2" fontId="12" fillId="0" borderId="13" xfId="0" applyNumberFormat="1" applyFont="1" applyFill="1" applyBorder="1" applyAlignment="1" applyProtection="1">
      <alignment horizontal="center" vertical="center" wrapText="1"/>
    </xf>
    <xf numFmtId="0" fontId="5" fillId="2" borderId="8" xfId="0" applyFont="1" applyFill="1" applyBorder="1" applyAlignment="1" applyProtection="1">
      <alignment horizontal="left" vertical="center" wrapText="1"/>
      <protection locked="0"/>
    </xf>
    <xf numFmtId="0" fontId="5" fillId="2" borderId="5" xfId="0" applyFont="1" applyFill="1" applyBorder="1" applyAlignment="1" applyProtection="1">
      <alignment horizontal="left" vertical="center" wrapText="1"/>
      <protection locked="0"/>
    </xf>
    <xf numFmtId="0" fontId="5" fillId="2" borderId="5" xfId="0" applyFont="1" applyFill="1" applyBorder="1" applyAlignment="1" applyProtection="1">
      <alignment horizontal="center" vertical="center" wrapText="1"/>
      <protection locked="0"/>
    </xf>
    <xf numFmtId="2" fontId="12" fillId="0" borderId="17" xfId="0" applyNumberFormat="1" applyFont="1" applyFill="1" applyBorder="1" applyAlignment="1" applyProtection="1">
      <alignment horizontal="center" vertical="center" wrapText="1"/>
    </xf>
    <xf numFmtId="165" fontId="12" fillId="0" borderId="38" xfId="0" applyNumberFormat="1" applyFont="1" applyFill="1" applyBorder="1" applyAlignment="1" applyProtection="1">
      <alignment horizontal="center" vertical="center" wrapText="1"/>
    </xf>
    <xf numFmtId="2" fontId="12" fillId="0" borderId="40" xfId="0" applyNumberFormat="1" applyFont="1" applyFill="1" applyBorder="1" applyAlignment="1" applyProtection="1">
      <alignment horizontal="center" vertical="center" wrapText="1"/>
    </xf>
    <xf numFmtId="164" fontId="12" fillId="0" borderId="38" xfId="0" applyNumberFormat="1" applyFont="1" applyFill="1" applyBorder="1" applyAlignment="1" applyProtection="1">
      <alignment horizontal="center" vertical="center" wrapText="1"/>
    </xf>
    <xf numFmtId="164" fontId="12" fillId="3" borderId="38" xfId="0" applyNumberFormat="1" applyFont="1" applyFill="1" applyBorder="1" applyAlignment="1" applyProtection="1">
      <alignment horizontal="center" vertical="center" wrapText="1"/>
      <protection locked="0"/>
    </xf>
    <xf numFmtId="1" fontId="12" fillId="3" borderId="5" xfId="0" applyNumberFormat="1" applyFont="1" applyFill="1" applyBorder="1" applyAlignment="1" applyProtection="1">
      <alignment horizontal="center" vertical="center" wrapText="1"/>
      <protection locked="0"/>
    </xf>
    <xf numFmtId="164" fontId="12" fillId="3" borderId="5" xfId="0" applyNumberFormat="1" applyFont="1" applyFill="1" applyBorder="1" applyAlignment="1" applyProtection="1">
      <alignment horizontal="center" vertical="center" wrapText="1"/>
      <protection locked="0"/>
    </xf>
    <xf numFmtId="165" fontId="12" fillId="0" borderId="5" xfId="0" applyNumberFormat="1" applyFont="1" applyFill="1" applyBorder="1" applyAlignment="1" applyProtection="1">
      <alignment horizontal="center" vertical="center" wrapText="1"/>
    </xf>
    <xf numFmtId="164" fontId="12" fillId="0" borderId="5" xfId="0" applyNumberFormat="1" applyFont="1" applyFill="1" applyBorder="1" applyAlignment="1" applyProtection="1">
      <alignment horizontal="center" vertical="center" wrapText="1"/>
    </xf>
    <xf numFmtId="2" fontId="12" fillId="0" borderId="11" xfId="0" applyNumberFormat="1" applyFont="1" applyFill="1" applyBorder="1" applyAlignment="1" applyProtection="1">
      <alignment horizontal="center" vertical="center" wrapText="1"/>
    </xf>
    <xf numFmtId="0" fontId="5" fillId="2" borderId="39" xfId="0" applyFont="1" applyFill="1" applyBorder="1" applyAlignment="1" applyProtection="1">
      <alignment horizontal="left" vertical="center" wrapText="1"/>
      <protection locked="0"/>
    </xf>
    <xf numFmtId="0" fontId="5" fillId="2" borderId="38" xfId="0" applyFont="1" applyFill="1" applyBorder="1" applyAlignment="1" applyProtection="1">
      <alignment horizontal="left" vertical="center" wrapText="1"/>
      <protection locked="0"/>
    </xf>
    <xf numFmtId="0" fontId="5" fillId="2" borderId="38" xfId="0" applyFont="1" applyFill="1" applyBorder="1" applyAlignment="1" applyProtection="1">
      <alignment horizontal="center" vertical="center" wrapText="1"/>
      <protection locked="0"/>
    </xf>
    <xf numFmtId="1" fontId="12" fillId="3" borderId="38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33" xfId="0" applyFont="1" applyFill="1" applyBorder="1" applyAlignment="1" applyProtection="1">
      <alignment horizontal="left" vertical="center" wrapText="1"/>
      <protection locked="0"/>
    </xf>
    <xf numFmtId="164" fontId="11" fillId="0" borderId="41" xfId="0" applyNumberFormat="1" applyFont="1" applyFill="1" applyBorder="1" applyAlignment="1" applyProtection="1">
      <alignment horizontal="center" vertical="center"/>
    </xf>
    <xf numFmtId="164" fontId="11" fillId="0" borderId="29" xfId="0" applyNumberFormat="1" applyFont="1" applyFill="1" applyBorder="1" applyAlignment="1" applyProtection="1">
      <alignment horizontal="center" vertical="center"/>
    </xf>
    <xf numFmtId="0" fontId="5" fillId="2" borderId="43" xfId="0" applyFont="1" applyFill="1" applyBorder="1" applyAlignment="1" applyProtection="1">
      <alignment horizontal="left" vertical="center" wrapText="1"/>
      <protection locked="0"/>
    </xf>
    <xf numFmtId="0" fontId="5" fillId="2" borderId="3" xfId="0" applyFont="1" applyFill="1" applyBorder="1" applyAlignment="1" applyProtection="1">
      <alignment horizontal="left" vertical="center" wrapText="1"/>
      <protection locked="0"/>
    </xf>
    <xf numFmtId="0" fontId="10" fillId="0" borderId="14" xfId="0" applyFont="1" applyFill="1" applyBorder="1" applyAlignment="1" applyProtection="1">
      <alignment horizontal="center" vertical="center"/>
      <protection hidden="1"/>
    </xf>
    <xf numFmtId="0" fontId="10" fillId="0" borderId="15" xfId="0" applyFont="1" applyFill="1" applyBorder="1" applyAlignment="1" applyProtection="1">
      <alignment horizontal="center" vertical="center"/>
      <protection hidden="1"/>
    </xf>
    <xf numFmtId="0" fontId="10" fillId="0" borderId="16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1" fontId="12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8" xfId="0" applyFont="1" applyFill="1" applyBorder="1" applyAlignment="1" applyProtection="1">
      <alignment horizontal="center" vertical="center"/>
      <protection hidden="1"/>
    </xf>
    <xf numFmtId="0" fontId="6" fillId="0" borderId="19" xfId="0" applyFont="1" applyFill="1" applyBorder="1" applyAlignment="1" applyProtection="1">
      <alignment horizontal="center" vertical="center"/>
      <protection hidden="1"/>
    </xf>
    <xf numFmtId="0" fontId="6" fillId="0" borderId="20" xfId="0" applyFont="1" applyFill="1" applyBorder="1" applyAlignment="1" applyProtection="1">
      <alignment horizontal="center" vertical="center"/>
      <protection hidden="1"/>
    </xf>
    <xf numFmtId="0" fontId="7" fillId="0" borderId="6" xfId="0" applyFont="1" applyFill="1" applyBorder="1" applyAlignment="1" applyProtection="1">
      <alignment horizontal="center" vertical="center"/>
      <protection hidden="1"/>
    </xf>
    <xf numFmtId="0" fontId="7" fillId="0" borderId="3" xfId="0" applyFont="1" applyFill="1" applyBorder="1" applyAlignment="1" applyProtection="1">
      <alignment horizontal="center" vertical="center"/>
      <protection hidden="1"/>
    </xf>
    <xf numFmtId="0" fontId="7" fillId="0" borderId="17" xfId="0" applyFont="1" applyFill="1" applyBorder="1" applyAlignment="1" applyProtection="1">
      <alignment horizontal="center" vertical="center"/>
      <protection hidden="1"/>
    </xf>
    <xf numFmtId="0" fontId="7" fillId="0" borderId="9" xfId="0" applyFont="1" applyFill="1" applyBorder="1" applyAlignment="1" applyProtection="1">
      <alignment horizontal="center" vertical="center"/>
      <protection hidden="1"/>
    </xf>
    <xf numFmtId="0" fontId="7" fillId="0" borderId="1" xfId="0" applyFont="1" applyFill="1" applyBorder="1" applyAlignment="1" applyProtection="1">
      <alignment horizontal="center" vertical="center"/>
      <protection hidden="1"/>
    </xf>
    <xf numFmtId="0" fontId="7" fillId="0" borderId="12" xfId="0" applyFont="1" applyFill="1" applyBorder="1" applyAlignment="1" applyProtection="1">
      <alignment horizontal="center" vertical="center"/>
      <protection hidden="1"/>
    </xf>
    <xf numFmtId="0" fontId="7" fillId="0" borderId="10" xfId="0" applyFont="1" applyFill="1" applyBorder="1" applyAlignment="1" applyProtection="1">
      <alignment horizontal="center" vertical="center"/>
      <protection hidden="1"/>
    </xf>
    <xf numFmtId="0" fontId="7" fillId="0" borderId="7" xfId="0" applyFont="1" applyFill="1" applyBorder="1" applyAlignment="1" applyProtection="1">
      <alignment horizontal="center" vertical="center"/>
      <protection hidden="1"/>
    </xf>
    <xf numFmtId="0" fontId="7" fillId="0" borderId="13" xfId="0" applyFont="1" applyFill="1" applyBorder="1" applyAlignment="1" applyProtection="1">
      <alignment horizontal="center" vertical="center"/>
      <protection hidden="1"/>
    </xf>
    <xf numFmtId="0" fontId="11" fillId="0" borderId="4" xfId="0" applyFont="1" applyFill="1" applyBorder="1" applyAlignment="1" applyProtection="1">
      <alignment horizontal="center" vertical="top" wrapText="1"/>
      <protection hidden="1"/>
    </xf>
    <xf numFmtId="0" fontId="11" fillId="0" borderId="32" xfId="0" applyFont="1" applyFill="1" applyBorder="1" applyAlignment="1" applyProtection="1">
      <alignment horizontal="center" vertical="top" wrapText="1"/>
      <protection hidden="1"/>
    </xf>
    <xf numFmtId="0" fontId="11" fillId="0" borderId="33" xfId="0" applyFont="1" applyFill="1" applyBorder="1" applyAlignment="1" applyProtection="1">
      <alignment horizontal="center" vertical="top" wrapText="1"/>
      <protection hidden="1"/>
    </xf>
    <xf numFmtId="0" fontId="8" fillId="0" borderId="1" xfId="0" applyFont="1" applyFill="1" applyBorder="1" applyAlignment="1" applyProtection="1">
      <alignment horizontal="left" vertical="center"/>
      <protection hidden="1"/>
    </xf>
    <xf numFmtId="0" fontId="9" fillId="2" borderId="1" xfId="0" quotePrefix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9" fillId="2" borderId="5" xfId="0" applyFont="1" applyFill="1" applyBorder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9" fillId="2" borderId="1" xfId="0" applyFont="1" applyFill="1" applyBorder="1" applyAlignment="1" applyProtection="1">
      <alignment horizontal="left" vertical="center"/>
      <protection locked="0"/>
    </xf>
    <xf numFmtId="0" fontId="9" fillId="2" borderId="7" xfId="0" applyFont="1" applyFill="1" applyBorder="1" applyAlignment="1" applyProtection="1">
      <alignment horizontal="left" vertical="center"/>
      <protection locked="0"/>
    </xf>
    <xf numFmtId="0" fontId="0" fillId="0" borderId="7" xfId="0" applyBorder="1" applyAlignment="1" applyProtection="1">
      <alignment horizontal="left" vertical="center"/>
      <protection locked="0"/>
    </xf>
    <xf numFmtId="0" fontId="0" fillId="0" borderId="13" xfId="0" applyBorder="1" applyAlignment="1" applyProtection="1">
      <alignment horizontal="left" vertical="center"/>
      <protection locked="0"/>
    </xf>
    <xf numFmtId="0" fontId="9" fillId="2" borderId="12" xfId="0" applyFont="1" applyFill="1" applyBorder="1" applyAlignment="1" applyProtection="1">
      <alignment horizontal="left" vertical="center"/>
      <protection locked="0"/>
    </xf>
    <xf numFmtId="14" fontId="9" fillId="2" borderId="1" xfId="0" quotePrefix="1" applyNumberFormat="1" applyFont="1" applyFill="1" applyBorder="1" applyAlignment="1" applyProtection="1">
      <alignment horizontal="left" vertical="center"/>
      <protection locked="0"/>
    </xf>
    <xf numFmtId="0" fontId="11" fillId="3" borderId="1" xfId="0" applyFont="1" applyFill="1" applyBorder="1" applyAlignment="1" applyProtection="1">
      <alignment horizontal="left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4DFEC"/>
      <color rgb="FFFFFF66"/>
      <color rgb="FFB8CCE4"/>
      <color rgb="FFFCD5B4"/>
      <color rgb="FFFF99CC"/>
      <color rgb="FF92D05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3"/>
  <sheetViews>
    <sheetView tabSelected="1" zoomScale="40" zoomScaleNormal="40" workbookViewId="0">
      <selection activeCell="G25" sqref="G25:G26"/>
    </sheetView>
  </sheetViews>
  <sheetFormatPr defaultColWidth="9.109375" defaultRowHeight="17.100000000000001" customHeight="1" x14ac:dyDescent="0.3"/>
  <cols>
    <col min="1" max="1" width="42.33203125" style="5" customWidth="1"/>
    <col min="2" max="2" width="77" style="5" customWidth="1"/>
    <col min="3" max="3" width="27.6640625" style="5" customWidth="1"/>
    <col min="4" max="4" width="33.33203125" style="5" customWidth="1"/>
    <col min="5" max="5" width="37.109375" style="5" customWidth="1"/>
    <col min="6" max="6" width="23.5546875" style="5" customWidth="1"/>
    <col min="7" max="7" width="21.44140625" style="5" customWidth="1"/>
    <col min="8" max="8" width="32.5546875" style="5" customWidth="1"/>
    <col min="9" max="9" width="23.44140625" style="7" customWidth="1"/>
    <col min="10" max="10" width="22" style="5" customWidth="1"/>
    <col min="11" max="12" width="19.33203125" style="5" customWidth="1"/>
    <col min="13" max="13" width="18.88671875" style="5" customWidth="1"/>
    <col min="14" max="16384" width="9.109375" style="5"/>
  </cols>
  <sheetData>
    <row r="1" spans="1:13" s="8" customFormat="1" ht="30" customHeight="1" thickBot="1" x14ac:dyDescent="0.35">
      <c r="A1" s="97" t="s">
        <v>12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9"/>
    </row>
    <row r="2" spans="1:13" s="8" customFormat="1" ht="30" customHeight="1" x14ac:dyDescent="0.3">
      <c r="A2" s="100" t="s">
        <v>39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1:13" s="8" customFormat="1" ht="30" customHeight="1" x14ac:dyDescent="0.3">
      <c r="A3" s="103" t="s">
        <v>6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5"/>
    </row>
    <row r="4" spans="1:13" s="8" customFormat="1" ht="30" customHeight="1" thickBot="1" x14ac:dyDescent="0.35">
      <c r="A4" s="106" t="s">
        <v>16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8"/>
    </row>
    <row r="5" spans="1:13" s="4" customFormat="1" ht="16.5" customHeight="1" thickBot="1" x14ac:dyDescent="0.4">
      <c r="A5" s="14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15"/>
    </row>
    <row r="6" spans="1:13" s="1" customFormat="1" ht="34.5" customHeight="1" x14ac:dyDescent="0.25">
      <c r="A6" s="12" t="s">
        <v>7</v>
      </c>
      <c r="B6" s="116" t="s">
        <v>32</v>
      </c>
      <c r="C6" s="116"/>
      <c r="D6" s="116"/>
      <c r="E6" s="116"/>
      <c r="F6" s="117"/>
      <c r="G6" s="28"/>
      <c r="H6" s="28"/>
      <c r="I6" s="112" t="s">
        <v>3</v>
      </c>
      <c r="J6" s="112"/>
      <c r="K6" s="118" t="s">
        <v>35</v>
      </c>
      <c r="L6" s="118"/>
      <c r="M6" s="122"/>
    </row>
    <row r="7" spans="1:13" s="1" customFormat="1" ht="35.1" customHeight="1" x14ac:dyDescent="0.25">
      <c r="A7" s="13" t="s">
        <v>8</v>
      </c>
      <c r="B7" s="118" t="s">
        <v>28</v>
      </c>
      <c r="C7" s="114"/>
      <c r="D7" s="114"/>
      <c r="E7" s="114"/>
      <c r="F7" s="115"/>
      <c r="G7" s="27"/>
      <c r="H7" s="27"/>
      <c r="I7" s="112" t="s">
        <v>15</v>
      </c>
      <c r="J7" s="112"/>
      <c r="K7" s="118" t="s">
        <v>14</v>
      </c>
      <c r="L7" s="114"/>
      <c r="M7" s="115"/>
    </row>
    <row r="8" spans="1:13" s="1" customFormat="1" ht="35.1" customHeight="1" thickBot="1" x14ac:dyDescent="0.3">
      <c r="A8" s="22" t="s">
        <v>9</v>
      </c>
      <c r="B8" s="119" t="s">
        <v>33</v>
      </c>
      <c r="C8" s="120"/>
      <c r="D8" s="120"/>
      <c r="E8" s="120"/>
      <c r="F8" s="121"/>
      <c r="G8" s="27"/>
      <c r="H8" s="27"/>
      <c r="I8" s="112" t="s">
        <v>10</v>
      </c>
      <c r="J8" s="112"/>
      <c r="K8" s="123">
        <v>45590</v>
      </c>
      <c r="L8" s="114"/>
      <c r="M8" s="115"/>
    </row>
    <row r="9" spans="1:13" ht="34.5" customHeight="1" x14ac:dyDescent="0.35">
      <c r="A9" s="14"/>
      <c r="B9" s="2"/>
      <c r="C9" s="2"/>
      <c r="D9" s="2"/>
      <c r="E9" s="2"/>
      <c r="F9" s="2"/>
      <c r="G9" s="2"/>
      <c r="H9" s="2"/>
      <c r="I9" s="112" t="s">
        <v>29</v>
      </c>
      <c r="J9" s="112"/>
      <c r="K9" s="113"/>
      <c r="L9" s="114"/>
      <c r="M9" s="115"/>
    </row>
    <row r="10" spans="1:13" ht="35.1" customHeight="1" x14ac:dyDescent="0.6">
      <c r="A10" s="31" t="s">
        <v>18</v>
      </c>
      <c r="B10" s="124" t="s">
        <v>17</v>
      </c>
      <c r="C10" s="124"/>
      <c r="D10" s="33">
        <v>0.1019</v>
      </c>
      <c r="E10" s="24"/>
      <c r="F10" s="32" t="s">
        <v>19</v>
      </c>
      <c r="G10" s="34">
        <v>47.5</v>
      </c>
      <c r="H10" s="17"/>
      <c r="I10" s="17"/>
      <c r="J10" s="17"/>
      <c r="K10" s="25"/>
      <c r="L10" s="26"/>
      <c r="M10" s="29"/>
    </row>
    <row r="11" spans="1:13" ht="26.25" customHeight="1" thickBot="1" x14ac:dyDescent="0.4">
      <c r="A11" s="14"/>
      <c r="B11" s="2"/>
      <c r="C11" s="2"/>
      <c r="D11" s="2"/>
      <c r="E11" s="2"/>
      <c r="F11" s="3"/>
      <c r="G11" s="3"/>
      <c r="H11" s="3"/>
      <c r="I11" s="2"/>
      <c r="J11" s="2"/>
      <c r="K11" s="2"/>
      <c r="L11" s="2"/>
      <c r="M11" s="16"/>
    </row>
    <row r="12" spans="1:13" ht="30" customHeight="1" thickBot="1" x14ac:dyDescent="0.35">
      <c r="A12" s="92" t="s">
        <v>11</v>
      </c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4"/>
    </row>
    <row r="13" spans="1:13" ht="17.100000000000001" customHeight="1" thickBot="1" x14ac:dyDescent="0.65">
      <c r="A13" s="18"/>
      <c r="B13" s="9"/>
      <c r="C13" s="9"/>
      <c r="D13" s="9"/>
      <c r="E13" s="9"/>
      <c r="F13" s="10"/>
      <c r="G13" s="10"/>
      <c r="H13" s="10"/>
      <c r="I13" s="9"/>
      <c r="J13" s="9"/>
      <c r="K13" s="9"/>
      <c r="L13" s="9"/>
      <c r="M13" s="19"/>
    </row>
    <row r="14" spans="1:13" ht="72.75" customHeight="1" thickBot="1" x14ac:dyDescent="0.35">
      <c r="A14" s="23" t="s">
        <v>5</v>
      </c>
      <c r="B14" s="30" t="s">
        <v>4</v>
      </c>
      <c r="C14" s="30" t="s">
        <v>13</v>
      </c>
      <c r="D14" s="30" t="s">
        <v>0</v>
      </c>
      <c r="E14" s="30" t="s">
        <v>1</v>
      </c>
      <c r="F14" s="30" t="s">
        <v>23</v>
      </c>
      <c r="G14" s="30" t="s">
        <v>20</v>
      </c>
      <c r="H14" s="30" t="s">
        <v>25</v>
      </c>
      <c r="I14" s="30" t="s">
        <v>22</v>
      </c>
      <c r="J14" s="30" t="s">
        <v>19</v>
      </c>
      <c r="K14" s="30" t="s">
        <v>21</v>
      </c>
      <c r="L14" s="30" t="s">
        <v>26</v>
      </c>
      <c r="M14" s="11" t="s">
        <v>27</v>
      </c>
    </row>
    <row r="15" spans="1:13" ht="30" customHeight="1" x14ac:dyDescent="0.3">
      <c r="A15" s="70" t="s">
        <v>36</v>
      </c>
      <c r="B15" s="71" t="s">
        <v>30</v>
      </c>
      <c r="C15" s="72" t="s">
        <v>34</v>
      </c>
      <c r="D15" s="72" t="s">
        <v>37</v>
      </c>
      <c r="E15" s="72" t="s">
        <v>38</v>
      </c>
      <c r="F15" s="78">
        <v>10</v>
      </c>
      <c r="G15" s="79">
        <v>11.9</v>
      </c>
      <c r="H15" s="79">
        <v>6.6</v>
      </c>
      <c r="I15" s="80">
        <f>$D$10</f>
        <v>0.1019</v>
      </c>
      <c r="J15" s="81">
        <f>$G$10</f>
        <v>47.5</v>
      </c>
      <c r="K15" s="80">
        <f>IFERROR(((G15*I15*J15*1000)/(F15*1000)), "")</f>
        <v>5.759897500000001</v>
      </c>
      <c r="L15" s="82">
        <f>IFERROR((K15/H15*100), "")</f>
        <v>87.271174242424266</v>
      </c>
      <c r="M15" s="89">
        <f>IFERROR((AVERAGE(L15:L18)), "")</f>
        <v>86.904488636363652</v>
      </c>
    </row>
    <row r="16" spans="1:13" ht="30" customHeight="1" x14ac:dyDescent="0.3">
      <c r="A16" s="54"/>
      <c r="B16" s="59"/>
      <c r="C16" s="61"/>
      <c r="D16" s="61"/>
      <c r="E16" s="61"/>
      <c r="F16" s="63"/>
      <c r="G16" s="48"/>
      <c r="H16" s="48"/>
      <c r="I16" s="50"/>
      <c r="J16" s="52"/>
      <c r="K16" s="50"/>
      <c r="L16" s="68"/>
      <c r="M16" s="56"/>
    </row>
    <row r="17" spans="1:13" ht="30" customHeight="1" x14ac:dyDescent="0.3">
      <c r="A17" s="54" t="s">
        <v>36</v>
      </c>
      <c r="B17" s="59" t="s">
        <v>31</v>
      </c>
      <c r="C17" s="61" t="s">
        <v>34</v>
      </c>
      <c r="D17" s="61" t="s">
        <v>37</v>
      </c>
      <c r="E17" s="61" t="s">
        <v>38</v>
      </c>
      <c r="F17" s="63">
        <v>10</v>
      </c>
      <c r="G17" s="48">
        <v>11.8</v>
      </c>
      <c r="H17" s="48">
        <v>6.6</v>
      </c>
      <c r="I17" s="50">
        <f t="shared" ref="I17" si="0">$D$10</f>
        <v>0.1019</v>
      </c>
      <c r="J17" s="52">
        <f>$G$10</f>
        <v>47.5</v>
      </c>
      <c r="K17" s="50">
        <f>IFERROR(((G17*I17*J17*1000)/(F17*1000)), "")</f>
        <v>5.7114949999999993</v>
      </c>
      <c r="L17" s="68">
        <f>IFERROR((K17/H17*100), "")</f>
        <v>86.537803030303024</v>
      </c>
      <c r="M17" s="56"/>
    </row>
    <row r="18" spans="1:13" ht="30" customHeight="1" thickBot="1" x14ac:dyDescent="0.35">
      <c r="A18" s="83"/>
      <c r="B18" s="84"/>
      <c r="C18" s="85"/>
      <c r="D18" s="85"/>
      <c r="E18" s="85"/>
      <c r="F18" s="86"/>
      <c r="G18" s="77"/>
      <c r="H18" s="77"/>
      <c r="I18" s="74"/>
      <c r="J18" s="76"/>
      <c r="K18" s="74"/>
      <c r="L18" s="75"/>
      <c r="M18" s="88"/>
    </row>
    <row r="19" spans="1:13" ht="30" customHeight="1" x14ac:dyDescent="0.3">
      <c r="A19" s="70"/>
      <c r="B19" s="71"/>
      <c r="C19" s="72"/>
      <c r="D19" s="72"/>
      <c r="E19" s="72"/>
      <c r="F19" s="78"/>
      <c r="G19" s="79"/>
      <c r="H19" s="79"/>
      <c r="I19" s="80">
        <f t="shared" ref="I19" si="1">$D$10</f>
        <v>0.1019</v>
      </c>
      <c r="J19" s="81">
        <f>$G$10</f>
        <v>47.5</v>
      </c>
      <c r="K19" s="80" t="str">
        <f>IFERROR(((G19*I19*J19*1000)/(F19*1000)), "")</f>
        <v/>
      </c>
      <c r="L19" s="82" t="str">
        <f>IFERROR((K19/H19*100), "")</f>
        <v/>
      </c>
      <c r="M19" s="89" t="str">
        <f>IFERROR((AVERAGE(L19:L22)), "")</f>
        <v/>
      </c>
    </row>
    <row r="20" spans="1:13" ht="30" customHeight="1" x14ac:dyDescent="0.3">
      <c r="A20" s="54"/>
      <c r="B20" s="59"/>
      <c r="C20" s="61"/>
      <c r="D20" s="61"/>
      <c r="E20" s="61"/>
      <c r="F20" s="63"/>
      <c r="G20" s="48"/>
      <c r="H20" s="48"/>
      <c r="I20" s="50"/>
      <c r="J20" s="52"/>
      <c r="K20" s="50"/>
      <c r="L20" s="68"/>
      <c r="M20" s="56"/>
    </row>
    <row r="21" spans="1:13" ht="30" customHeight="1" x14ac:dyDescent="0.3">
      <c r="A21" s="54"/>
      <c r="B21" s="59"/>
      <c r="C21" s="61"/>
      <c r="D21" s="61"/>
      <c r="E21" s="61"/>
      <c r="F21" s="63"/>
      <c r="G21" s="48"/>
      <c r="H21" s="48"/>
      <c r="I21" s="50">
        <f t="shared" ref="I21" si="2">$D$10</f>
        <v>0.1019</v>
      </c>
      <c r="J21" s="52">
        <f>$G$10</f>
        <v>47.5</v>
      </c>
      <c r="K21" s="50" t="str">
        <f>IFERROR(((G21*I21*J21*1000)/(F21*1000)), "")</f>
        <v/>
      </c>
      <c r="L21" s="68" t="str">
        <f>IFERROR((K21/H21*100), "")</f>
        <v/>
      </c>
      <c r="M21" s="56"/>
    </row>
    <row r="22" spans="1:13" ht="30" customHeight="1" thickBot="1" x14ac:dyDescent="0.35">
      <c r="A22" s="58"/>
      <c r="B22" s="60"/>
      <c r="C22" s="62"/>
      <c r="D22" s="62"/>
      <c r="E22" s="62"/>
      <c r="F22" s="64"/>
      <c r="G22" s="65"/>
      <c r="H22" s="65"/>
      <c r="I22" s="67"/>
      <c r="J22" s="66"/>
      <c r="K22" s="67"/>
      <c r="L22" s="69"/>
      <c r="M22" s="57"/>
    </row>
    <row r="23" spans="1:13" ht="30" customHeight="1" x14ac:dyDescent="0.3">
      <c r="A23" s="70"/>
      <c r="B23" s="91"/>
      <c r="C23" s="72"/>
      <c r="D23" s="72"/>
      <c r="E23" s="72"/>
      <c r="F23" s="78"/>
      <c r="G23" s="47"/>
      <c r="H23" s="47"/>
      <c r="I23" s="49">
        <f t="shared" ref="I23" si="3">$D$10</f>
        <v>0.1019</v>
      </c>
      <c r="J23" s="51">
        <f>$G$10</f>
        <v>47.5</v>
      </c>
      <c r="K23" s="49" t="str">
        <f t="shared" ref="K23" si="4">IFERROR(((G23*I23*J23*1000)/(F23*1000)), "")</f>
        <v/>
      </c>
      <c r="L23" s="73" t="str">
        <f>IFERROR((K23/H23*100), "")</f>
        <v/>
      </c>
      <c r="M23" s="55" t="str">
        <f>IFERROR((AVERAGE(L23:L26)), "")</f>
        <v/>
      </c>
    </row>
    <row r="24" spans="1:13" ht="30" customHeight="1" x14ac:dyDescent="0.3">
      <c r="A24" s="54"/>
      <c r="B24" s="59"/>
      <c r="C24" s="61"/>
      <c r="D24" s="61"/>
      <c r="E24" s="61"/>
      <c r="F24" s="63"/>
      <c r="G24" s="48"/>
      <c r="H24" s="48"/>
      <c r="I24" s="50"/>
      <c r="J24" s="52"/>
      <c r="K24" s="50"/>
      <c r="L24" s="68"/>
      <c r="M24" s="56"/>
    </row>
    <row r="25" spans="1:13" ht="30" customHeight="1" x14ac:dyDescent="0.3">
      <c r="A25" s="54"/>
      <c r="B25" s="59"/>
      <c r="C25" s="61"/>
      <c r="D25" s="61"/>
      <c r="E25" s="61"/>
      <c r="F25" s="63"/>
      <c r="G25" s="48"/>
      <c r="H25" s="48"/>
      <c r="I25" s="50">
        <f t="shared" ref="I25" si="5">$D$10</f>
        <v>0.1019</v>
      </c>
      <c r="J25" s="52">
        <f>$G$10</f>
        <v>47.5</v>
      </c>
      <c r="K25" s="50" t="str">
        <f t="shared" ref="K25" si="6">IFERROR(((G25*I25*J25*1000)/(F25*1000)), "")</f>
        <v/>
      </c>
      <c r="L25" s="68" t="str">
        <f>IFERROR((K25/H25*100), "")</f>
        <v/>
      </c>
      <c r="M25" s="56"/>
    </row>
    <row r="26" spans="1:13" ht="30" customHeight="1" thickBot="1" x14ac:dyDescent="0.35">
      <c r="A26" s="83"/>
      <c r="B26" s="84"/>
      <c r="C26" s="85"/>
      <c r="D26" s="85"/>
      <c r="E26" s="85"/>
      <c r="F26" s="86"/>
      <c r="G26" s="77"/>
      <c r="H26" s="77"/>
      <c r="I26" s="74"/>
      <c r="J26" s="76"/>
      <c r="K26" s="74"/>
      <c r="L26" s="75"/>
      <c r="M26" s="88"/>
    </row>
    <row r="27" spans="1:13" ht="30" customHeight="1" x14ac:dyDescent="0.3">
      <c r="A27" s="70"/>
      <c r="B27" s="71"/>
      <c r="C27" s="72"/>
      <c r="D27" s="72"/>
      <c r="E27" s="72"/>
      <c r="F27" s="78"/>
      <c r="G27" s="79"/>
      <c r="H27" s="79"/>
      <c r="I27" s="80">
        <f t="shared" ref="I27" si="7">$D$10</f>
        <v>0.1019</v>
      </c>
      <c r="J27" s="81">
        <f>$G$10</f>
        <v>47.5</v>
      </c>
      <c r="K27" s="80" t="str">
        <f t="shared" ref="K27" si="8">IFERROR(((G27*I27*J27*1000)/(F27*1000)), "")</f>
        <v/>
      </c>
      <c r="L27" s="82" t="str">
        <f>IFERROR((K27/H27*100), "")</f>
        <v/>
      </c>
      <c r="M27" s="89" t="str">
        <f>IFERROR((AVERAGE(L27:L30)), "")</f>
        <v/>
      </c>
    </row>
    <row r="28" spans="1:13" ht="30" customHeight="1" x14ac:dyDescent="0.3">
      <c r="A28" s="54"/>
      <c r="B28" s="59"/>
      <c r="C28" s="61"/>
      <c r="D28" s="61"/>
      <c r="E28" s="61"/>
      <c r="F28" s="63"/>
      <c r="G28" s="48"/>
      <c r="H28" s="48"/>
      <c r="I28" s="50"/>
      <c r="J28" s="52"/>
      <c r="K28" s="50"/>
      <c r="L28" s="68"/>
      <c r="M28" s="56"/>
    </row>
    <row r="29" spans="1:13" ht="30" customHeight="1" x14ac:dyDescent="0.3">
      <c r="A29" s="83"/>
      <c r="B29" s="59"/>
      <c r="C29" s="61"/>
      <c r="D29" s="61"/>
      <c r="E29" s="61"/>
      <c r="F29" s="63"/>
      <c r="G29" s="48"/>
      <c r="H29" s="48"/>
      <c r="I29" s="50">
        <f t="shared" ref="I29" si="9">$D$10</f>
        <v>0.1019</v>
      </c>
      <c r="J29" s="52">
        <f>$G$10</f>
        <v>47.5</v>
      </c>
      <c r="K29" s="50" t="str">
        <f t="shared" ref="K29" si="10">IFERROR(((G29*I29*J29*1000)/(F29*1000)), "")</f>
        <v/>
      </c>
      <c r="L29" s="68" t="str">
        <f>IFERROR((K29/H29*100), "")</f>
        <v/>
      </c>
      <c r="M29" s="56"/>
    </row>
    <row r="30" spans="1:13" ht="30" customHeight="1" thickBot="1" x14ac:dyDescent="0.35">
      <c r="A30" s="87"/>
      <c r="B30" s="60"/>
      <c r="C30" s="85"/>
      <c r="D30" s="62"/>
      <c r="E30" s="85"/>
      <c r="F30" s="64"/>
      <c r="G30" s="65"/>
      <c r="H30" s="65"/>
      <c r="I30" s="67"/>
      <c r="J30" s="66"/>
      <c r="K30" s="67"/>
      <c r="L30" s="69"/>
      <c r="M30" s="57"/>
    </row>
    <row r="31" spans="1:13" ht="30" customHeight="1" x14ac:dyDescent="0.3">
      <c r="A31" s="70"/>
      <c r="B31" s="90"/>
      <c r="C31" s="72"/>
      <c r="D31" s="72"/>
      <c r="E31" s="72"/>
      <c r="F31" s="78"/>
      <c r="G31" s="47"/>
      <c r="H31" s="47"/>
      <c r="I31" s="49">
        <f t="shared" ref="I31" si="11">$D$10</f>
        <v>0.1019</v>
      </c>
      <c r="J31" s="51">
        <f>$G$10</f>
        <v>47.5</v>
      </c>
      <c r="K31" s="49" t="str">
        <f t="shared" ref="K31" si="12">IFERROR(((G31*I31*J31*1000)/(F31*1000)), "")</f>
        <v/>
      </c>
      <c r="L31" s="73" t="str">
        <f>IFERROR((K31/H31*100), "")</f>
        <v/>
      </c>
      <c r="M31" s="55" t="str">
        <f>IFERROR((AVERAGE(L31:L34)), "")</f>
        <v/>
      </c>
    </row>
    <row r="32" spans="1:13" ht="30" customHeight="1" x14ac:dyDescent="0.3">
      <c r="A32" s="54"/>
      <c r="B32" s="91"/>
      <c r="C32" s="61"/>
      <c r="D32" s="61"/>
      <c r="E32" s="61"/>
      <c r="F32" s="63"/>
      <c r="G32" s="48"/>
      <c r="H32" s="48"/>
      <c r="I32" s="50"/>
      <c r="J32" s="52"/>
      <c r="K32" s="50"/>
      <c r="L32" s="68"/>
      <c r="M32" s="56"/>
    </row>
    <row r="33" spans="1:13" ht="30" customHeight="1" x14ac:dyDescent="0.3">
      <c r="A33" s="54"/>
      <c r="B33" s="59"/>
      <c r="C33" s="61"/>
      <c r="D33" s="61"/>
      <c r="E33" s="61"/>
      <c r="F33" s="63"/>
      <c r="G33" s="48"/>
      <c r="H33" s="48"/>
      <c r="I33" s="50">
        <f t="shared" ref="I33" si="13">$D$10</f>
        <v>0.1019</v>
      </c>
      <c r="J33" s="52">
        <f>$G$10</f>
        <v>47.5</v>
      </c>
      <c r="K33" s="50" t="str">
        <f t="shared" ref="K33" si="14">IFERROR(((G33*I33*J33*1000)/(F33*1000)), "")</f>
        <v/>
      </c>
      <c r="L33" s="68" t="str">
        <f>IFERROR((K33/H33*100), "")</f>
        <v/>
      </c>
      <c r="M33" s="56"/>
    </row>
    <row r="34" spans="1:13" ht="30" customHeight="1" thickBot="1" x14ac:dyDescent="0.35">
      <c r="A34" s="83"/>
      <c r="B34" s="84"/>
      <c r="C34" s="85"/>
      <c r="D34" s="85"/>
      <c r="E34" s="85"/>
      <c r="F34" s="86"/>
      <c r="G34" s="77"/>
      <c r="H34" s="77"/>
      <c r="I34" s="74"/>
      <c r="J34" s="76"/>
      <c r="K34" s="74"/>
      <c r="L34" s="75"/>
      <c r="M34" s="88"/>
    </row>
    <row r="35" spans="1:13" ht="30" customHeight="1" x14ac:dyDescent="0.3">
      <c r="A35" s="70"/>
      <c r="B35" s="71"/>
      <c r="C35" s="72"/>
      <c r="D35" s="72"/>
      <c r="E35" s="72"/>
      <c r="F35" s="78"/>
      <c r="G35" s="79"/>
      <c r="H35" s="79"/>
      <c r="I35" s="80">
        <f t="shared" ref="I35" si="15">$D$10</f>
        <v>0.1019</v>
      </c>
      <c r="J35" s="81">
        <f>$G$10</f>
        <v>47.5</v>
      </c>
      <c r="K35" s="80" t="str">
        <f t="shared" ref="K35" si="16">IFERROR(((G35*I35*J35*1000)/(F35*1000)), "")</f>
        <v/>
      </c>
      <c r="L35" s="82" t="str">
        <f>IFERROR((K35/H35*100), "")</f>
        <v/>
      </c>
      <c r="M35" s="89" t="str">
        <f>IFERROR((AVERAGE(L35:L38)), "")</f>
        <v/>
      </c>
    </row>
    <row r="36" spans="1:13" ht="30" customHeight="1" x14ac:dyDescent="0.3">
      <c r="A36" s="54"/>
      <c r="B36" s="59"/>
      <c r="C36" s="61"/>
      <c r="D36" s="61"/>
      <c r="E36" s="61"/>
      <c r="F36" s="63"/>
      <c r="G36" s="48"/>
      <c r="H36" s="48"/>
      <c r="I36" s="50"/>
      <c r="J36" s="52"/>
      <c r="K36" s="50"/>
      <c r="L36" s="68"/>
      <c r="M36" s="56"/>
    </row>
    <row r="37" spans="1:13" ht="30" customHeight="1" x14ac:dyDescent="0.3">
      <c r="A37" s="54"/>
      <c r="B37" s="59"/>
      <c r="C37" s="61"/>
      <c r="D37" s="95"/>
      <c r="E37" s="95"/>
      <c r="F37" s="96"/>
      <c r="G37" s="48"/>
      <c r="H37" s="48"/>
      <c r="I37" s="50">
        <f t="shared" ref="I37" si="17">$D$10</f>
        <v>0.1019</v>
      </c>
      <c r="J37" s="52">
        <f>$G$10</f>
        <v>47.5</v>
      </c>
      <c r="K37" s="50" t="str">
        <f t="shared" ref="K37" si="18">IFERROR(((G37*I37*J37*1000)/(F37*1000)), "")</f>
        <v/>
      </c>
      <c r="L37" s="68" t="str">
        <f>IFERROR((K37/H37*100), "")</f>
        <v/>
      </c>
      <c r="M37" s="56"/>
    </row>
    <row r="38" spans="1:13" ht="30" customHeight="1" thickBot="1" x14ac:dyDescent="0.35">
      <c r="A38" s="58"/>
      <c r="B38" s="60"/>
      <c r="C38" s="62"/>
      <c r="D38" s="62"/>
      <c r="E38" s="62"/>
      <c r="F38" s="64"/>
      <c r="G38" s="65"/>
      <c r="H38" s="65"/>
      <c r="I38" s="67"/>
      <c r="J38" s="66"/>
      <c r="K38" s="67"/>
      <c r="L38" s="69"/>
      <c r="M38" s="57"/>
    </row>
    <row r="39" spans="1:13" ht="30" customHeight="1" x14ac:dyDescent="0.3">
      <c r="A39" s="53"/>
      <c r="B39" s="91"/>
      <c r="C39" s="95"/>
      <c r="D39" s="95"/>
      <c r="E39" s="95"/>
      <c r="F39" s="96"/>
      <c r="G39" s="47"/>
      <c r="H39" s="47"/>
      <c r="I39" s="49">
        <f t="shared" ref="I39" si="19">$D$10</f>
        <v>0.1019</v>
      </c>
      <c r="J39" s="51">
        <f>$G$10</f>
        <v>47.5</v>
      </c>
      <c r="K39" s="49" t="str">
        <f t="shared" ref="K39" si="20">IFERROR(((G39*I39*J39*1000)/(F39*1000)), "")</f>
        <v/>
      </c>
      <c r="L39" s="73" t="str">
        <f>IFERROR((K39/H39*100), "")</f>
        <v/>
      </c>
      <c r="M39" s="55" t="str">
        <f>IFERROR((AVERAGE(L39:L42)), "")</f>
        <v/>
      </c>
    </row>
    <row r="40" spans="1:13" ht="30" customHeight="1" x14ac:dyDescent="0.3">
      <c r="A40" s="54"/>
      <c r="B40" s="59"/>
      <c r="C40" s="61"/>
      <c r="D40" s="61"/>
      <c r="E40" s="61"/>
      <c r="F40" s="63"/>
      <c r="G40" s="48"/>
      <c r="H40" s="48"/>
      <c r="I40" s="50"/>
      <c r="J40" s="52"/>
      <c r="K40" s="50"/>
      <c r="L40" s="68"/>
      <c r="M40" s="56"/>
    </row>
    <row r="41" spans="1:13" ht="30" customHeight="1" x14ac:dyDescent="0.3">
      <c r="A41" s="54"/>
      <c r="B41" s="59"/>
      <c r="C41" s="61"/>
      <c r="D41" s="61"/>
      <c r="E41" s="61"/>
      <c r="F41" s="63"/>
      <c r="G41" s="48"/>
      <c r="H41" s="48"/>
      <c r="I41" s="50">
        <f>$D$10</f>
        <v>0.1019</v>
      </c>
      <c r="J41" s="52">
        <f>$G$10</f>
        <v>47.5</v>
      </c>
      <c r="K41" s="50" t="str">
        <f t="shared" ref="K41" si="21">IFERROR(((G41*I41*J41*1000)/(F41*1000)), "")</f>
        <v/>
      </c>
      <c r="L41" s="68" t="str">
        <f>IFERROR((K41/H41*100), "")</f>
        <v/>
      </c>
      <c r="M41" s="56"/>
    </row>
    <row r="42" spans="1:13" ht="30" customHeight="1" thickBot="1" x14ac:dyDescent="0.35">
      <c r="A42" s="58"/>
      <c r="B42" s="60"/>
      <c r="C42" s="62"/>
      <c r="D42" s="62"/>
      <c r="E42" s="62"/>
      <c r="F42" s="64"/>
      <c r="G42" s="65"/>
      <c r="H42" s="65"/>
      <c r="I42" s="67"/>
      <c r="J42" s="66"/>
      <c r="K42" s="67"/>
      <c r="L42" s="69"/>
      <c r="M42" s="57"/>
    </row>
    <row r="43" spans="1:13" ht="30" customHeight="1" x14ac:dyDescent="0.3">
      <c r="A43" s="70"/>
      <c r="B43" s="71"/>
      <c r="C43" s="72"/>
      <c r="D43" s="72"/>
      <c r="E43" s="72"/>
      <c r="F43" s="78"/>
      <c r="G43" s="79"/>
      <c r="H43" s="79"/>
      <c r="I43" s="80">
        <f t="shared" ref="I43" si="22">$D$10</f>
        <v>0.1019</v>
      </c>
      <c r="J43" s="81">
        <f>$G$10</f>
        <v>47.5</v>
      </c>
      <c r="K43" s="80" t="str">
        <f t="shared" ref="K43" si="23">IFERROR(((G43*I43*J43*1000)/(F43*1000)), "")</f>
        <v/>
      </c>
      <c r="L43" s="82" t="str">
        <f>IFERROR((K43/H43*100), "")</f>
        <v/>
      </c>
      <c r="M43" s="89" t="str">
        <f>IFERROR((AVERAGE(L43:L46)), "")</f>
        <v/>
      </c>
    </row>
    <row r="44" spans="1:13" ht="30" customHeight="1" x14ac:dyDescent="0.3">
      <c r="A44" s="54"/>
      <c r="B44" s="59"/>
      <c r="C44" s="61"/>
      <c r="D44" s="61"/>
      <c r="E44" s="61"/>
      <c r="F44" s="63"/>
      <c r="G44" s="48"/>
      <c r="H44" s="48"/>
      <c r="I44" s="50"/>
      <c r="J44" s="52"/>
      <c r="K44" s="50"/>
      <c r="L44" s="68"/>
      <c r="M44" s="56"/>
    </row>
    <row r="45" spans="1:13" ht="30" customHeight="1" x14ac:dyDescent="0.3">
      <c r="A45" s="54"/>
      <c r="B45" s="59"/>
      <c r="C45" s="61"/>
      <c r="D45" s="61"/>
      <c r="E45" s="61"/>
      <c r="F45" s="63"/>
      <c r="G45" s="48"/>
      <c r="H45" s="48"/>
      <c r="I45" s="50">
        <f t="shared" ref="I45" si="24">$D$10</f>
        <v>0.1019</v>
      </c>
      <c r="J45" s="52">
        <f>$G$10</f>
        <v>47.5</v>
      </c>
      <c r="K45" s="50" t="str">
        <f t="shared" ref="K45" si="25">IFERROR(((G45*I45*J45*1000)/(F45*1000)), "")</f>
        <v/>
      </c>
      <c r="L45" s="68" t="str">
        <f>IFERROR((K45/H45*100), "")</f>
        <v/>
      </c>
      <c r="M45" s="56"/>
    </row>
    <row r="46" spans="1:13" ht="30" customHeight="1" thickBot="1" x14ac:dyDescent="0.35">
      <c r="A46" s="58"/>
      <c r="B46" s="60"/>
      <c r="C46" s="62"/>
      <c r="D46" s="62"/>
      <c r="E46" s="62"/>
      <c r="F46" s="64"/>
      <c r="G46" s="65"/>
      <c r="H46" s="65"/>
      <c r="I46" s="67"/>
      <c r="J46" s="66"/>
      <c r="K46" s="67"/>
      <c r="L46" s="69"/>
      <c r="M46" s="57"/>
    </row>
    <row r="47" spans="1:13" ht="17.100000000000001" customHeight="1" thickBot="1" x14ac:dyDescent="0.35">
      <c r="A47" s="20"/>
      <c r="B47" s="17"/>
      <c r="C47" s="17"/>
      <c r="D47" s="17"/>
      <c r="E47" s="17"/>
      <c r="F47" s="17"/>
      <c r="G47" s="17"/>
      <c r="H47" s="17"/>
      <c r="I47" s="6"/>
      <c r="J47" s="17"/>
      <c r="K47" s="17"/>
      <c r="L47" s="17"/>
      <c r="M47" s="16"/>
    </row>
    <row r="48" spans="1:13" ht="17.100000000000001" customHeight="1" x14ac:dyDescent="0.3">
      <c r="A48" s="35" t="s">
        <v>24</v>
      </c>
      <c r="B48" s="38"/>
      <c r="C48" s="39"/>
      <c r="D48" s="40"/>
      <c r="E48" s="6"/>
      <c r="F48" s="109" t="s">
        <v>2</v>
      </c>
      <c r="G48" s="38"/>
      <c r="H48" s="39"/>
      <c r="I48" s="39"/>
      <c r="J48" s="39"/>
      <c r="K48" s="39"/>
      <c r="L48" s="39"/>
      <c r="M48" s="40"/>
    </row>
    <row r="49" spans="1:13" ht="17.100000000000001" customHeight="1" x14ac:dyDescent="0.3">
      <c r="A49" s="36"/>
      <c r="B49" s="41"/>
      <c r="C49" s="42"/>
      <c r="D49" s="43"/>
      <c r="E49" s="6"/>
      <c r="F49" s="110"/>
      <c r="G49" s="41"/>
      <c r="H49" s="42"/>
      <c r="I49" s="42"/>
      <c r="J49" s="42"/>
      <c r="K49" s="42"/>
      <c r="L49" s="42"/>
      <c r="M49" s="43"/>
    </row>
    <row r="50" spans="1:13" ht="17.100000000000001" customHeight="1" x14ac:dyDescent="0.3">
      <c r="A50" s="36"/>
      <c r="B50" s="41"/>
      <c r="C50" s="42"/>
      <c r="D50" s="43"/>
      <c r="E50" s="6"/>
      <c r="F50" s="110"/>
      <c r="G50" s="41"/>
      <c r="H50" s="42"/>
      <c r="I50" s="42"/>
      <c r="J50" s="42"/>
      <c r="K50" s="42"/>
      <c r="L50" s="42"/>
      <c r="M50" s="43"/>
    </row>
    <row r="51" spans="1:13" ht="17.100000000000001" customHeight="1" x14ac:dyDescent="0.3">
      <c r="A51" s="36"/>
      <c r="B51" s="41"/>
      <c r="C51" s="42"/>
      <c r="D51" s="43"/>
      <c r="E51" s="6"/>
      <c r="F51" s="110"/>
      <c r="G51" s="41"/>
      <c r="H51" s="42"/>
      <c r="I51" s="42"/>
      <c r="J51" s="42"/>
      <c r="K51" s="42"/>
      <c r="L51" s="42"/>
      <c r="M51" s="43"/>
    </row>
    <row r="52" spans="1:13" ht="17.100000000000001" customHeight="1" thickBot="1" x14ac:dyDescent="0.35">
      <c r="A52" s="37"/>
      <c r="B52" s="44"/>
      <c r="C52" s="45"/>
      <c r="D52" s="46"/>
      <c r="E52" s="21"/>
      <c r="F52" s="111"/>
      <c r="G52" s="44"/>
      <c r="H52" s="45"/>
      <c r="I52" s="45"/>
      <c r="J52" s="45"/>
      <c r="K52" s="45"/>
      <c r="L52" s="45"/>
      <c r="M52" s="46"/>
    </row>
    <row r="53" spans="1:13" ht="17.100000000000001" customHeight="1" x14ac:dyDescent="0.3">
      <c r="B53" s="7"/>
      <c r="C53" s="7"/>
      <c r="D53" s="7"/>
      <c r="E53" s="7"/>
      <c r="F53" s="7"/>
      <c r="G53" s="7"/>
      <c r="H53" s="7"/>
      <c r="J53" s="7"/>
      <c r="K53" s="7"/>
      <c r="L53" s="7"/>
    </row>
  </sheetData>
  <mergeCells count="221">
    <mergeCell ref="F48:F52"/>
    <mergeCell ref="G48:M52"/>
    <mergeCell ref="I9:J9"/>
    <mergeCell ref="K9:M9"/>
    <mergeCell ref="L15:L16"/>
    <mergeCell ref="B6:F6"/>
    <mergeCell ref="B7:F7"/>
    <mergeCell ref="B8:F8"/>
    <mergeCell ref="I6:J6"/>
    <mergeCell ref="I7:J7"/>
    <mergeCell ref="I8:J8"/>
    <mergeCell ref="K6:M6"/>
    <mergeCell ref="K7:M7"/>
    <mergeCell ref="K8:M8"/>
    <mergeCell ref="B10:C10"/>
    <mergeCell ref="L43:L44"/>
    <mergeCell ref="L37:L38"/>
    <mergeCell ref="L27:L28"/>
    <mergeCell ref="L17:L18"/>
    <mergeCell ref="C39:C40"/>
    <mergeCell ref="D39:D40"/>
    <mergeCell ref="E39:E40"/>
    <mergeCell ref="F39:F40"/>
    <mergeCell ref="F17:F18"/>
    <mergeCell ref="A1:M1"/>
    <mergeCell ref="A2:M2"/>
    <mergeCell ref="A3:M3"/>
    <mergeCell ref="A4:M4"/>
    <mergeCell ref="A45:A46"/>
    <mergeCell ref="B45:B46"/>
    <mergeCell ref="C45:C46"/>
    <mergeCell ref="D45:D46"/>
    <mergeCell ref="E45:E46"/>
    <mergeCell ref="F45:F46"/>
    <mergeCell ref="G45:G46"/>
    <mergeCell ref="I45:I46"/>
    <mergeCell ref="J45:J46"/>
    <mergeCell ref="I41:I42"/>
    <mergeCell ref="M43:M46"/>
    <mergeCell ref="H45:H46"/>
    <mergeCell ref="K45:K46"/>
    <mergeCell ref="L45:L46"/>
    <mergeCell ref="G43:G44"/>
    <mergeCell ref="I43:I44"/>
    <mergeCell ref="J43:J44"/>
    <mergeCell ref="H43:H44"/>
    <mergeCell ref="K43:K44"/>
    <mergeCell ref="B39:B40"/>
    <mergeCell ref="L21:L22"/>
    <mergeCell ref="A21:A22"/>
    <mergeCell ref="F43:F44"/>
    <mergeCell ref="K39:K40"/>
    <mergeCell ref="L39:L40"/>
    <mergeCell ref="M35:M38"/>
    <mergeCell ref="A37:A38"/>
    <mergeCell ref="B37:B38"/>
    <mergeCell ref="C37:C38"/>
    <mergeCell ref="D37:D38"/>
    <mergeCell ref="E37:E38"/>
    <mergeCell ref="F37:F38"/>
    <mergeCell ref="G37:G38"/>
    <mergeCell ref="I37:I38"/>
    <mergeCell ref="J37:J38"/>
    <mergeCell ref="H37:H38"/>
    <mergeCell ref="K37:K38"/>
    <mergeCell ref="B21:B22"/>
    <mergeCell ref="C21:C22"/>
    <mergeCell ref="D21:D22"/>
    <mergeCell ref="E21:E22"/>
    <mergeCell ref="F21:F22"/>
    <mergeCell ref="I25:I26"/>
    <mergeCell ref="G27:G28"/>
    <mergeCell ref="K15:K16"/>
    <mergeCell ref="K17:K18"/>
    <mergeCell ref="K19:K20"/>
    <mergeCell ref="A15:A16"/>
    <mergeCell ref="B15:B16"/>
    <mergeCell ref="C15:C16"/>
    <mergeCell ref="D15:D16"/>
    <mergeCell ref="E15:E16"/>
    <mergeCell ref="F15:F16"/>
    <mergeCell ref="G15:G16"/>
    <mergeCell ref="I15:I16"/>
    <mergeCell ref="J15:J16"/>
    <mergeCell ref="A12:M12"/>
    <mergeCell ref="M15:M18"/>
    <mergeCell ref="A17:A18"/>
    <mergeCell ref="B17:B18"/>
    <mergeCell ref="C17:C18"/>
    <mergeCell ref="D17:D18"/>
    <mergeCell ref="E17:E18"/>
    <mergeCell ref="A19:A20"/>
    <mergeCell ref="B19:B20"/>
    <mergeCell ref="C19:C20"/>
    <mergeCell ref="D19:D20"/>
    <mergeCell ref="E19:E20"/>
    <mergeCell ref="F19:F20"/>
    <mergeCell ref="I17:I18"/>
    <mergeCell ref="J17:J18"/>
    <mergeCell ref="H17:H18"/>
    <mergeCell ref="G19:G20"/>
    <mergeCell ref="I19:I20"/>
    <mergeCell ref="J19:J20"/>
    <mergeCell ref="H19:H20"/>
    <mergeCell ref="G17:G18"/>
    <mergeCell ref="L19:L20"/>
    <mergeCell ref="M19:M22"/>
    <mergeCell ref="H15:H16"/>
    <mergeCell ref="I27:I28"/>
    <mergeCell ref="J27:J28"/>
    <mergeCell ref="H27:H28"/>
    <mergeCell ref="E23:E24"/>
    <mergeCell ref="F23:F24"/>
    <mergeCell ref="G23:G24"/>
    <mergeCell ref="I23:I24"/>
    <mergeCell ref="J23:J24"/>
    <mergeCell ref="G21:G22"/>
    <mergeCell ref="I21:I22"/>
    <mergeCell ref="J21:J22"/>
    <mergeCell ref="H21:H22"/>
    <mergeCell ref="M23:M26"/>
    <mergeCell ref="A25:A26"/>
    <mergeCell ref="B25:B26"/>
    <mergeCell ref="C25:C26"/>
    <mergeCell ref="D25:D26"/>
    <mergeCell ref="E25:E26"/>
    <mergeCell ref="F25:F26"/>
    <mergeCell ref="G25:G26"/>
    <mergeCell ref="H23:H24"/>
    <mergeCell ref="K23:K24"/>
    <mergeCell ref="L23:L24"/>
    <mergeCell ref="K25:K26"/>
    <mergeCell ref="L25:L26"/>
    <mergeCell ref="A23:A24"/>
    <mergeCell ref="B23:B24"/>
    <mergeCell ref="C23:C24"/>
    <mergeCell ref="D23:D24"/>
    <mergeCell ref="J25:J26"/>
    <mergeCell ref="H25:H26"/>
    <mergeCell ref="K21:K22"/>
    <mergeCell ref="M31:M34"/>
    <mergeCell ref="A27:A28"/>
    <mergeCell ref="B27:B28"/>
    <mergeCell ref="C27:C28"/>
    <mergeCell ref="D27:D28"/>
    <mergeCell ref="E27:E28"/>
    <mergeCell ref="F27:F28"/>
    <mergeCell ref="G33:G34"/>
    <mergeCell ref="H31:H32"/>
    <mergeCell ref="K31:K32"/>
    <mergeCell ref="K27:K28"/>
    <mergeCell ref="M27:M30"/>
    <mergeCell ref="A31:A32"/>
    <mergeCell ref="B31:B32"/>
    <mergeCell ref="C31:C32"/>
    <mergeCell ref="D31:D32"/>
    <mergeCell ref="E31:E32"/>
    <mergeCell ref="F31:F32"/>
    <mergeCell ref="G31:G32"/>
    <mergeCell ref="I31:I32"/>
    <mergeCell ref="J31:J32"/>
    <mergeCell ref="G29:G30"/>
    <mergeCell ref="I29:I30"/>
    <mergeCell ref="J29:J30"/>
    <mergeCell ref="H29:H30"/>
    <mergeCell ref="K29:K30"/>
    <mergeCell ref="L29:L30"/>
    <mergeCell ref="A29:A30"/>
    <mergeCell ref="B29:B30"/>
    <mergeCell ref="C29:C30"/>
    <mergeCell ref="D29:D30"/>
    <mergeCell ref="E29:E30"/>
    <mergeCell ref="F29:F30"/>
    <mergeCell ref="L31:L32"/>
    <mergeCell ref="K33:K34"/>
    <mergeCell ref="L33:L34"/>
    <mergeCell ref="I33:I34"/>
    <mergeCell ref="J33:J34"/>
    <mergeCell ref="H33:H34"/>
    <mergeCell ref="A35:A36"/>
    <mergeCell ref="B35:B36"/>
    <mergeCell ref="C35:C36"/>
    <mergeCell ref="D35:D36"/>
    <mergeCell ref="E35:E36"/>
    <mergeCell ref="F35:F36"/>
    <mergeCell ref="G35:G36"/>
    <mergeCell ref="I35:I36"/>
    <mergeCell ref="J35:J36"/>
    <mergeCell ref="H35:H36"/>
    <mergeCell ref="K35:K36"/>
    <mergeCell ref="L35:L36"/>
    <mergeCell ref="A33:A34"/>
    <mergeCell ref="B33:B34"/>
    <mergeCell ref="C33:C34"/>
    <mergeCell ref="D33:D34"/>
    <mergeCell ref="E33:E34"/>
    <mergeCell ref="F33:F34"/>
    <mergeCell ref="A48:A52"/>
    <mergeCell ref="B48:D52"/>
    <mergeCell ref="G39:G40"/>
    <mergeCell ref="I39:I40"/>
    <mergeCell ref="J39:J40"/>
    <mergeCell ref="H39:H40"/>
    <mergeCell ref="A39:A40"/>
    <mergeCell ref="M39:M42"/>
    <mergeCell ref="A41:A42"/>
    <mergeCell ref="B41:B42"/>
    <mergeCell ref="C41:C42"/>
    <mergeCell ref="D41:D42"/>
    <mergeCell ref="E41:E42"/>
    <mergeCell ref="F41:F42"/>
    <mergeCell ref="G41:G42"/>
    <mergeCell ref="J41:J42"/>
    <mergeCell ref="H41:H42"/>
    <mergeCell ref="K41:K42"/>
    <mergeCell ref="L41:L42"/>
    <mergeCell ref="A43:A44"/>
    <mergeCell ref="B43:B44"/>
    <mergeCell ref="C43:C44"/>
    <mergeCell ref="D43:D44"/>
    <mergeCell ref="E43:E44"/>
  </mergeCells>
  <pageMargins left="0.19685039370078741" right="0.19685039370078741" top="0.39370078740157483" bottom="0" header="0" footer="0"/>
  <pageSetup paperSize="9" scale="36" fitToHeight="0" orientation="landscape" r:id="rId1"/>
  <headerFoot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Initial </vt:lpstr>
      <vt:lpstr>'Initial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2026-06-24T11:07:52Z</dcterms:modified>
</cp:coreProperties>
</file>