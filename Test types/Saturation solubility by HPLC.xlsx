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ThisWorkbook" defaultThemeVersion="124226"/>
  <xr:revisionPtr revIDLastSave="0" documentId="13_ncr:1_{2E15E32C-B26D-41BA-A398-0993C82611FD}" xr6:coauthVersionLast="36" xr6:coauthVersionMax="36" xr10:uidLastSave="{00000000-0000-0000-0000-000000000000}"/>
  <bookViews>
    <workbookView xWindow="0" yWindow="0" windowWidth="28800" windowHeight="12900" tabRatio="602" xr2:uid="{00000000-000D-0000-FFFF-FFFF00000000}"/>
  </bookViews>
  <sheets>
    <sheet name="Saturated Solubility" sheetId="11" r:id="rId1"/>
  </sheets>
  <definedNames>
    <definedName name="_xlnm.Print_Area" localSheetId="0">'Saturated Solubility'!$A$1:$I$93</definedName>
  </definedNames>
  <calcPr calcId="191029"/>
</workbook>
</file>

<file path=xl/calcChain.xml><?xml version="1.0" encoding="utf-8"?>
<calcChain xmlns="http://schemas.openxmlformats.org/spreadsheetml/2006/main">
  <c r="E86" i="11" l="1"/>
  <c r="E76" i="11"/>
  <c r="E66" i="11"/>
  <c r="E56" i="11"/>
  <c r="E46" i="11"/>
  <c r="E34" i="11"/>
  <c r="E36" i="11"/>
  <c r="E82" i="11" l="1"/>
  <c r="E72" i="11"/>
  <c r="E62" i="11"/>
  <c r="E52" i="11"/>
  <c r="E84" i="11" l="1"/>
  <c r="E74" i="11"/>
  <c r="E64" i="11"/>
  <c r="E54" i="11"/>
  <c r="E42" i="11"/>
  <c r="E44" i="11"/>
  <c r="H25" i="11"/>
  <c r="D25" i="11"/>
  <c r="E25" i="11"/>
  <c r="F25" i="11"/>
  <c r="G25" i="11"/>
  <c r="C25" i="11"/>
  <c r="D24" i="11"/>
  <c r="F46" i="11" s="1"/>
  <c r="E24" i="11"/>
  <c r="F56" i="11" s="1"/>
  <c r="F24" i="11"/>
  <c r="F66" i="11" s="1"/>
  <c r="G24" i="11"/>
  <c r="F76" i="11" s="1"/>
  <c r="H24" i="11"/>
  <c r="F86" i="11" s="1"/>
  <c r="C24" i="11"/>
  <c r="F36" i="11" l="1"/>
  <c r="F34" i="11"/>
  <c r="G26" i="11"/>
  <c r="D26" i="11"/>
  <c r="E26" i="11"/>
  <c r="F26" i="11"/>
  <c r="H26" i="11"/>
  <c r="C26" i="11"/>
  <c r="F84" i="11"/>
  <c r="F64" i="11"/>
  <c r="F54" i="11"/>
  <c r="F42" i="11"/>
  <c r="F44" i="11"/>
  <c r="E32" i="11"/>
  <c r="G42" i="11" l="1"/>
  <c r="C78" i="11"/>
  <c r="F82" i="11"/>
  <c r="G82" i="11" s="1"/>
  <c r="F74" i="11" l="1"/>
  <c r="C68" i="11"/>
  <c r="F72" i="11"/>
  <c r="C58" i="11"/>
  <c r="F62" i="11"/>
  <c r="G62" i="11" s="1"/>
  <c r="C48" i="11"/>
  <c r="F52" i="11"/>
  <c r="G52" i="11" s="1"/>
  <c r="C38" i="11"/>
  <c r="G72" i="11" l="1"/>
  <c r="C28" i="11"/>
  <c r="F32" i="11" l="1"/>
  <c r="G32" i="11" s="1"/>
</calcChain>
</file>

<file path=xl/sharedStrings.xml><?xml version="1.0" encoding="utf-8"?>
<sst xmlns="http://schemas.openxmlformats.org/spreadsheetml/2006/main" count="179" uniqueCount="41">
  <si>
    <t>SD</t>
  </si>
  <si>
    <t>RSD</t>
  </si>
  <si>
    <t>Sample Dilution</t>
  </si>
  <si>
    <t>Std. Dilution</t>
  </si>
  <si>
    <t>Analysed By</t>
  </si>
  <si>
    <t>Checked By</t>
  </si>
  <si>
    <t>Name of  API</t>
  </si>
  <si>
    <t>Media</t>
  </si>
  <si>
    <t>AR No.</t>
  </si>
  <si>
    <t>TRF No.</t>
  </si>
  <si>
    <t>Set-1</t>
  </si>
  <si>
    <t>Set-2</t>
  </si>
  <si>
    <t>Analytical Development</t>
  </si>
  <si>
    <t>Emcure</t>
  </si>
  <si>
    <t>Mean</t>
  </si>
  <si>
    <t>mL</t>
  </si>
  <si>
    <t>mg/mL</t>
  </si>
  <si>
    <t>Mean mg/mL</t>
  </si>
  <si>
    <t>Std. Potency</t>
  </si>
  <si>
    <t>Template No.</t>
  </si>
  <si>
    <t>LNB No.</t>
  </si>
  <si>
    <t>Batch/ Lot No.</t>
  </si>
  <si>
    <t>Standard - 1</t>
  </si>
  <si>
    <t>Standard - 2</t>
  </si>
  <si>
    <t>Standard - 3</t>
  </si>
  <si>
    <t>Standard - 4</t>
  </si>
  <si>
    <t>Standard - 5</t>
  </si>
  <si>
    <t>Standard - 6</t>
  </si>
  <si>
    <t>Media Name</t>
  </si>
  <si>
    <t>Date of Analysis</t>
  </si>
  <si>
    <t>Set-3</t>
  </si>
  <si>
    <t>Weight (mg)</t>
  </si>
  <si>
    <t>Pipette (mL)</t>
  </si>
  <si>
    <t>STD Area in Media</t>
  </si>
  <si>
    <t>Area-1</t>
  </si>
  <si>
    <t>Area-2</t>
  </si>
  <si>
    <t>Mean Area</t>
  </si>
  <si>
    <t xml:space="preserve"> </t>
  </si>
  <si>
    <t>Saturation Solubility by HPLC</t>
  </si>
  <si>
    <t>Semaglutide API</t>
  </si>
  <si>
    <t xml:space="preserve"> R &amp; D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</si>
</sst>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2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0" borderId="0" xfId="0" applyFont="1"/>
    <xf numFmtId="2" fontId="4" fillId="0" borderId="1" xfId="0" applyNumberFormat="1" applyFont="1" applyBorder="1" applyAlignment="1" applyProtection="1">
      <alignment horizontal="center" vertical="center"/>
    </xf>
    <xf numFmtId="2" fontId="4" fillId="0" borderId="3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7" xfId="0" applyNumberFormat="1" applyFont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Protection="1"/>
    <xf numFmtId="0" fontId="4" fillId="0" borderId="13" xfId="0" applyFont="1" applyBorder="1" applyProtection="1"/>
    <xf numFmtId="0" fontId="4" fillId="0" borderId="14" xfId="0" applyFont="1" applyBorder="1" applyProtection="1"/>
    <xf numFmtId="0" fontId="4" fillId="0" borderId="15" xfId="0" applyFont="1" applyBorder="1" applyProtection="1"/>
    <xf numFmtId="0" fontId="4" fillId="0" borderId="10" xfId="0" applyFont="1" applyBorder="1" applyProtection="1"/>
    <xf numFmtId="0" fontId="4" fillId="0" borderId="0" xfId="0" applyFont="1" applyBorder="1" applyProtection="1"/>
    <xf numFmtId="0" fontId="4" fillId="0" borderId="15" xfId="0" applyFont="1" applyBorder="1" applyAlignment="1" applyProtection="1">
      <alignment vertical="center"/>
    </xf>
    <xf numFmtId="0" fontId="3" fillId="0" borderId="6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0" fontId="4" fillId="0" borderId="10" xfId="0" applyFont="1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0" xfId="0" applyFont="1" applyBorder="1" applyProtection="1"/>
    <xf numFmtId="0" fontId="4" fillId="0" borderId="0" xfId="0" applyFont="1" applyProtection="1"/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6" fillId="0" borderId="15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16" xfId="0" applyFont="1" applyBorder="1" applyProtection="1"/>
    <xf numFmtId="0" fontId="4" fillId="0" borderId="11" xfId="0" applyFont="1" applyBorder="1" applyProtection="1"/>
    <xf numFmtId="0" fontId="4" fillId="0" borderId="17" xfId="0" applyFont="1" applyBorder="1" applyProtection="1"/>
    <xf numFmtId="0" fontId="4" fillId="3" borderId="8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/>
    </xf>
    <xf numFmtId="165" fontId="4" fillId="0" borderId="0" xfId="0" applyNumberFormat="1" applyFont="1" applyBorder="1" applyAlignment="1" applyProtection="1">
      <alignment horizontal="center" vertical="center"/>
    </xf>
    <xf numFmtId="164" fontId="4" fillId="0" borderId="0" xfId="0" applyNumberFormat="1" applyFont="1" applyBorder="1" applyAlignment="1" applyProtection="1">
      <alignment horizontal="center" vertical="center"/>
    </xf>
    <xf numFmtId="164" fontId="5" fillId="0" borderId="0" xfId="0" applyNumberFormat="1" applyFont="1" applyBorder="1" applyAlignment="1" applyProtection="1">
      <alignment horizontal="center" vertical="center"/>
    </xf>
    <xf numFmtId="165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2" fontId="4" fillId="2" borderId="5" xfId="0" applyNumberFormat="1" applyFont="1" applyFill="1" applyBorder="1" applyAlignment="1" applyProtection="1">
      <alignment horizontal="center"/>
      <protection locked="0"/>
    </xf>
    <xf numFmtId="165" fontId="4" fillId="0" borderId="28" xfId="0" applyNumberFormat="1" applyFont="1" applyBorder="1" applyAlignment="1" applyProtection="1">
      <alignment horizontal="center" vertical="center"/>
    </xf>
    <xf numFmtId="165" fontId="4" fillId="0" borderId="29" xfId="0" applyNumberFormat="1" applyFont="1" applyBorder="1" applyAlignment="1" applyProtection="1">
      <alignment horizontal="center" vertical="center"/>
    </xf>
    <xf numFmtId="165" fontId="4" fillId="0" borderId="26" xfId="0" applyNumberFormat="1" applyFont="1" applyBorder="1" applyAlignment="1" applyProtection="1">
      <alignment horizontal="center" vertical="center"/>
    </xf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3" xfId="0" applyNumberFormat="1" applyFont="1" applyFill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 vertical="center"/>
    </xf>
    <xf numFmtId="1" fontId="4" fillId="0" borderId="1" xfId="0" applyNumberFormat="1" applyFont="1" applyBorder="1" applyAlignment="1" applyProtection="1">
      <alignment horizontal="center" vertical="center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5" xfId="0" applyNumberFormat="1" applyFont="1" applyBorder="1" applyAlignment="1" applyProtection="1">
      <alignment horizontal="center" vertical="center"/>
    </xf>
    <xf numFmtId="0" fontId="7" fillId="0" borderId="31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14" fontId="4" fillId="3" borderId="24" xfId="0" applyNumberFormat="1" applyFont="1" applyFill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 vertical="center" wrapText="1"/>
    </xf>
    <xf numFmtId="0" fontId="3" fillId="0" borderId="22" xfId="0" applyFont="1" applyBorder="1" applyAlignment="1" applyProtection="1">
      <alignment horizontal="center" vertical="center" wrapText="1"/>
    </xf>
    <xf numFmtId="165" fontId="5" fillId="0" borderId="6" xfId="0" applyNumberFormat="1" applyFont="1" applyBorder="1" applyAlignment="1" applyProtection="1">
      <alignment horizontal="center" vertical="center"/>
    </xf>
    <xf numFmtId="165" fontId="5" fillId="0" borderId="8" xfId="0" applyNumberFormat="1" applyFont="1" applyBorder="1" applyAlignment="1" applyProtection="1">
      <alignment horizontal="center" vertical="center"/>
    </xf>
    <xf numFmtId="165" fontId="5" fillId="0" borderId="2" xfId="0" applyNumberFormat="1" applyFont="1" applyBorder="1" applyAlignment="1" applyProtection="1">
      <alignment horizontal="center" vertical="center"/>
    </xf>
    <xf numFmtId="165" fontId="5" fillId="0" borderId="3" xfId="0" applyNumberFormat="1" applyFont="1" applyBorder="1" applyAlignment="1" applyProtection="1">
      <alignment horizontal="center" vertical="center"/>
    </xf>
    <xf numFmtId="165" fontId="5" fillId="0" borderId="4" xfId="0" applyNumberFormat="1" applyFont="1" applyBorder="1" applyAlignment="1" applyProtection="1">
      <alignment horizontal="center" vertical="center"/>
    </xf>
    <xf numFmtId="165" fontId="5" fillId="0" borderId="7" xfId="0" applyNumberFormat="1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9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/>
    </xf>
    <xf numFmtId="0" fontId="3" fillId="0" borderId="21" xfId="0" applyFont="1" applyBorder="1" applyAlignment="1" applyProtection="1">
      <alignment horizontal="center"/>
    </xf>
    <xf numFmtId="0" fontId="3" fillId="0" borderId="22" xfId="0" applyFont="1" applyBorder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32" xfId="0" applyFont="1" applyBorder="1" applyAlignment="1" applyProtection="1">
      <alignment horizontal="center" vertical="center"/>
    </xf>
    <xf numFmtId="0" fontId="7" fillId="0" borderId="33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top"/>
    </xf>
    <xf numFmtId="0" fontId="1" fillId="0" borderId="2" xfId="0" applyFont="1" applyBorder="1" applyAlignment="1" applyProtection="1">
      <alignment horizontal="left" vertical="top"/>
    </xf>
    <xf numFmtId="0" fontId="1" fillId="0" borderId="4" xfId="0" applyFont="1" applyBorder="1" applyAlignment="1" applyProtection="1">
      <alignment horizontal="left" vertical="top"/>
    </xf>
    <xf numFmtId="0" fontId="2" fillId="0" borderId="9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center"/>
    </xf>
    <xf numFmtId="164" fontId="5" fillId="0" borderId="6" xfId="0" applyNumberFormat="1" applyFont="1" applyBorder="1" applyAlignment="1" applyProtection="1">
      <alignment horizontal="center" vertical="center"/>
    </xf>
    <xf numFmtId="164" fontId="5" fillId="0" borderId="8" xfId="0" applyNumberFormat="1" applyFont="1" applyBorder="1" applyAlignment="1" applyProtection="1">
      <alignment horizontal="center" vertical="center"/>
    </xf>
    <xf numFmtId="164" fontId="5" fillId="0" borderId="2" xfId="0" applyNumberFormat="1" applyFont="1" applyBorder="1" applyAlignment="1" applyProtection="1">
      <alignment horizontal="center" vertical="center"/>
    </xf>
    <xf numFmtId="164" fontId="5" fillId="0" borderId="3" xfId="0" applyNumberFormat="1" applyFont="1" applyBorder="1" applyAlignment="1" applyProtection="1">
      <alignment horizontal="center" vertical="center"/>
    </xf>
    <xf numFmtId="164" fontId="5" fillId="0" borderId="4" xfId="0" applyNumberFormat="1" applyFont="1" applyBorder="1" applyAlignment="1" applyProtection="1">
      <alignment horizontal="center" vertical="center"/>
    </xf>
    <xf numFmtId="164" fontId="5" fillId="0" borderId="7" xfId="0" applyNumberFormat="1" applyFont="1" applyBorder="1" applyAlignment="1" applyProtection="1">
      <alignment horizontal="center" vertical="center"/>
    </xf>
    <xf numFmtId="165" fontId="5" fillId="0" borderId="12" xfId="0" applyNumberFormat="1" applyFont="1" applyBorder="1" applyAlignment="1" applyProtection="1">
      <alignment horizontal="center" vertical="center"/>
    </xf>
    <xf numFmtId="165" fontId="5" fillId="0" borderId="14" xfId="0" applyNumberFormat="1" applyFont="1" applyBorder="1" applyAlignment="1" applyProtection="1">
      <alignment horizontal="center" vertical="center"/>
    </xf>
    <xf numFmtId="165" fontId="5" fillId="0" borderId="15" xfId="0" applyNumberFormat="1" applyFont="1" applyBorder="1" applyAlignment="1" applyProtection="1">
      <alignment horizontal="center" vertical="center"/>
    </xf>
    <xf numFmtId="165" fontId="5" fillId="0" borderId="10" xfId="0" applyNumberFormat="1" applyFont="1" applyBorder="1" applyAlignment="1" applyProtection="1">
      <alignment horizontal="center" vertical="center"/>
    </xf>
    <xf numFmtId="165" fontId="5" fillId="0" borderId="16" xfId="0" applyNumberFormat="1" applyFont="1" applyBorder="1" applyAlignment="1" applyProtection="1">
      <alignment horizontal="center" vertical="center"/>
    </xf>
    <xf numFmtId="165" fontId="5" fillId="0" borderId="17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2" fontId="3" fillId="3" borderId="8" xfId="0" applyNumberFormat="1" applyFont="1" applyFill="1" applyBorder="1" applyAlignment="1" applyProtection="1">
      <alignment horizontal="center" vertical="center"/>
      <protection locked="0"/>
    </xf>
    <xf numFmtId="2" fontId="3" fillId="3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DFE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I93"/>
  <sheetViews>
    <sheetView tabSelected="1" view="pageBreakPreview" zoomScale="85" zoomScaleNormal="85" zoomScaleSheetLayoutView="85" workbookViewId="0">
      <selection activeCell="B4" sqref="B4:H4"/>
    </sheetView>
  </sheetViews>
  <sheetFormatPr defaultColWidth="9.109375" defaultRowHeight="13.8" x14ac:dyDescent="0.25"/>
  <cols>
    <col min="1" max="1" width="7.33203125" style="1" customWidth="1"/>
    <col min="2" max="2" width="20.6640625" style="1" customWidth="1"/>
    <col min="3" max="8" width="25.77734375" style="1" customWidth="1"/>
    <col min="9" max="9" width="9.88671875" style="1" customWidth="1"/>
    <col min="10" max="16384" width="9.109375" style="1"/>
  </cols>
  <sheetData>
    <row r="1" spans="1:9" ht="9.75" customHeight="1" thickBot="1" x14ac:dyDescent="0.3">
      <c r="A1" s="13"/>
      <c r="B1" s="14"/>
      <c r="C1" s="14"/>
      <c r="D1" s="14"/>
      <c r="E1" s="14"/>
      <c r="F1" s="14"/>
      <c r="G1" s="14"/>
      <c r="H1" s="14"/>
      <c r="I1" s="15"/>
    </row>
    <row r="2" spans="1:9" s="6" customFormat="1" ht="25.05" customHeight="1" x14ac:dyDescent="0.3">
      <c r="A2" s="19"/>
      <c r="B2" s="82" t="s">
        <v>13</v>
      </c>
      <c r="C2" s="83"/>
      <c r="D2" s="83"/>
      <c r="E2" s="83"/>
      <c r="F2" s="83"/>
      <c r="G2" s="83"/>
      <c r="H2" s="84"/>
      <c r="I2" s="22"/>
    </row>
    <row r="3" spans="1:9" s="6" customFormat="1" ht="25.05" customHeight="1" x14ac:dyDescent="0.3">
      <c r="A3" s="19"/>
      <c r="B3" s="85" t="s">
        <v>40</v>
      </c>
      <c r="C3" s="86"/>
      <c r="D3" s="86"/>
      <c r="E3" s="86"/>
      <c r="F3" s="86"/>
      <c r="G3" s="86"/>
      <c r="H3" s="87"/>
      <c r="I3" s="22"/>
    </row>
    <row r="4" spans="1:9" s="6" customFormat="1" ht="25.05" customHeight="1" x14ac:dyDescent="0.3">
      <c r="A4" s="19"/>
      <c r="B4" s="85" t="s">
        <v>12</v>
      </c>
      <c r="C4" s="86"/>
      <c r="D4" s="86"/>
      <c r="E4" s="86"/>
      <c r="F4" s="86"/>
      <c r="G4" s="86"/>
      <c r="H4" s="87"/>
      <c r="I4" s="22"/>
    </row>
    <row r="5" spans="1:9" s="6" customFormat="1" ht="25.05" customHeight="1" thickBot="1" x14ac:dyDescent="0.35">
      <c r="A5" s="19"/>
      <c r="B5" s="91" t="s">
        <v>38</v>
      </c>
      <c r="C5" s="92"/>
      <c r="D5" s="92"/>
      <c r="E5" s="92"/>
      <c r="F5" s="92"/>
      <c r="G5" s="92"/>
      <c r="H5" s="93"/>
      <c r="I5" s="22"/>
    </row>
    <row r="6" spans="1:9" ht="14.4" thickBot="1" x14ac:dyDescent="0.3">
      <c r="A6" s="16"/>
      <c r="B6" s="18"/>
      <c r="C6" s="18"/>
      <c r="D6" s="18"/>
      <c r="E6" s="18"/>
      <c r="F6" s="18"/>
      <c r="G6" s="18"/>
      <c r="H6" s="18"/>
      <c r="I6" s="17"/>
    </row>
    <row r="7" spans="1:9" s="6" customFormat="1" ht="24.9" customHeight="1" x14ac:dyDescent="0.3">
      <c r="A7" s="19"/>
      <c r="B7" s="54" t="s">
        <v>6</v>
      </c>
      <c r="C7" s="99" t="s">
        <v>39</v>
      </c>
      <c r="D7" s="99"/>
      <c r="E7" s="100"/>
      <c r="F7" s="21"/>
      <c r="G7" s="20" t="s">
        <v>8</v>
      </c>
      <c r="H7" s="8"/>
      <c r="I7" s="22"/>
    </row>
    <row r="8" spans="1:9" s="6" customFormat="1" ht="24.9" customHeight="1" thickBot="1" x14ac:dyDescent="0.35">
      <c r="A8" s="19"/>
      <c r="B8" s="55" t="s">
        <v>21</v>
      </c>
      <c r="C8" s="101"/>
      <c r="D8" s="101"/>
      <c r="E8" s="102"/>
      <c r="F8" s="21"/>
      <c r="G8" s="23" t="s">
        <v>9</v>
      </c>
      <c r="H8" s="9"/>
      <c r="I8" s="22"/>
    </row>
    <row r="9" spans="1:9" ht="14.4" thickBot="1" x14ac:dyDescent="0.3">
      <c r="A9" s="16"/>
      <c r="B9" s="24"/>
      <c r="C9" s="18"/>
      <c r="D9" s="18"/>
      <c r="E9" s="18"/>
      <c r="F9" s="18"/>
      <c r="G9" s="18"/>
      <c r="H9" s="18"/>
      <c r="I9" s="17"/>
    </row>
    <row r="10" spans="1:9" x14ac:dyDescent="0.25">
      <c r="A10" s="16"/>
      <c r="B10" s="124" t="s">
        <v>18</v>
      </c>
      <c r="C10" s="126">
        <v>92.5</v>
      </c>
      <c r="D10" s="18"/>
      <c r="E10" s="42" t="s">
        <v>29</v>
      </c>
      <c r="F10" s="25"/>
      <c r="G10" s="26" t="s">
        <v>19</v>
      </c>
      <c r="H10" s="38"/>
      <c r="I10" s="17"/>
    </row>
    <row r="11" spans="1:9" ht="14.4" thickBot="1" x14ac:dyDescent="0.3">
      <c r="A11" s="16"/>
      <c r="B11" s="125"/>
      <c r="C11" s="127"/>
      <c r="D11" s="18"/>
      <c r="E11" s="72">
        <v>45712</v>
      </c>
      <c r="F11" s="25"/>
      <c r="G11" s="27" t="s">
        <v>20</v>
      </c>
      <c r="H11" s="39"/>
      <c r="I11" s="17"/>
    </row>
    <row r="12" spans="1:9" ht="14.4" thickBot="1" x14ac:dyDescent="0.3">
      <c r="A12" s="16"/>
      <c r="B12" s="24"/>
      <c r="C12" s="18"/>
      <c r="D12" s="18"/>
      <c r="E12" s="18"/>
      <c r="F12" s="18"/>
      <c r="G12" s="18"/>
      <c r="H12" s="18"/>
      <c r="I12" s="17"/>
    </row>
    <row r="13" spans="1:9" x14ac:dyDescent="0.25">
      <c r="A13" s="16"/>
      <c r="B13" s="96" t="s">
        <v>3</v>
      </c>
      <c r="C13" s="28" t="s">
        <v>31</v>
      </c>
      <c r="D13" s="28" t="s">
        <v>15</v>
      </c>
      <c r="E13" s="28" t="s">
        <v>15</v>
      </c>
      <c r="F13" s="28" t="s">
        <v>15</v>
      </c>
      <c r="G13" s="28" t="s">
        <v>15</v>
      </c>
      <c r="H13" s="29" t="s">
        <v>15</v>
      </c>
      <c r="I13" s="17"/>
    </row>
    <row r="14" spans="1:9" ht="14.4" thickBot="1" x14ac:dyDescent="0.3">
      <c r="A14" s="16"/>
      <c r="B14" s="97"/>
      <c r="C14" s="56">
        <v>32.17</v>
      </c>
      <c r="D14" s="10">
        <v>50</v>
      </c>
      <c r="E14" s="10">
        <v>6</v>
      </c>
      <c r="F14" s="10">
        <v>20</v>
      </c>
      <c r="G14" s="10">
        <v>1</v>
      </c>
      <c r="H14" s="11">
        <v>1</v>
      </c>
      <c r="I14" s="17"/>
    </row>
    <row r="15" spans="1:9" ht="14.4" thickBot="1" x14ac:dyDescent="0.3">
      <c r="A15" s="16"/>
      <c r="B15" s="24"/>
      <c r="C15" s="18"/>
      <c r="D15" s="18"/>
      <c r="E15" s="18"/>
      <c r="F15" s="18"/>
      <c r="G15" s="18"/>
      <c r="H15" s="18"/>
      <c r="I15" s="17"/>
    </row>
    <row r="16" spans="1:9" ht="17.100000000000001" customHeight="1" thickBot="1" x14ac:dyDescent="0.3">
      <c r="A16" s="16"/>
      <c r="B16" s="88" t="s">
        <v>33</v>
      </c>
      <c r="C16" s="89"/>
      <c r="D16" s="89"/>
      <c r="E16" s="89"/>
      <c r="F16" s="89"/>
      <c r="G16" s="89"/>
      <c r="H16" s="90"/>
      <c r="I16" s="17"/>
    </row>
    <row r="17" spans="1:9" ht="51" customHeight="1" x14ac:dyDescent="0.25">
      <c r="A17" s="16"/>
      <c r="B17" s="51" t="s">
        <v>28</v>
      </c>
      <c r="C17" s="52"/>
      <c r="D17" s="52"/>
      <c r="E17" s="52"/>
      <c r="F17" s="52"/>
      <c r="G17" s="52"/>
      <c r="H17" s="53"/>
      <c r="I17" s="17"/>
    </row>
    <row r="18" spans="1:9" s="12" customFormat="1" ht="17.100000000000001" customHeight="1" x14ac:dyDescent="0.3">
      <c r="A18" s="30"/>
      <c r="B18" s="41" t="s">
        <v>22</v>
      </c>
      <c r="C18" s="60">
        <v>1264265</v>
      </c>
      <c r="D18" s="60">
        <v>1264265</v>
      </c>
      <c r="E18" s="60">
        <v>1264265</v>
      </c>
      <c r="F18" s="60">
        <v>1264265</v>
      </c>
      <c r="G18" s="60">
        <v>1264265</v>
      </c>
      <c r="H18" s="60">
        <v>1264265</v>
      </c>
      <c r="I18" s="31"/>
    </row>
    <row r="19" spans="1:9" s="12" customFormat="1" ht="17.100000000000001" customHeight="1" x14ac:dyDescent="0.3">
      <c r="A19" s="30"/>
      <c r="B19" s="41" t="s">
        <v>23</v>
      </c>
      <c r="C19" s="60">
        <v>1266600</v>
      </c>
      <c r="D19" s="60">
        <v>1266600</v>
      </c>
      <c r="E19" s="60">
        <v>1266600</v>
      </c>
      <c r="F19" s="60">
        <v>1266600</v>
      </c>
      <c r="G19" s="60">
        <v>1266600</v>
      </c>
      <c r="H19" s="60">
        <v>1266600</v>
      </c>
      <c r="I19" s="31"/>
    </row>
    <row r="20" spans="1:9" s="12" customFormat="1" ht="17.100000000000001" customHeight="1" x14ac:dyDescent="0.3">
      <c r="A20" s="30"/>
      <c r="B20" s="41" t="s">
        <v>24</v>
      </c>
      <c r="C20" s="60">
        <v>1267571</v>
      </c>
      <c r="D20" s="60">
        <v>1267571</v>
      </c>
      <c r="E20" s="60">
        <v>1267571</v>
      </c>
      <c r="F20" s="60">
        <v>1267571</v>
      </c>
      <c r="G20" s="60">
        <v>1267571</v>
      </c>
      <c r="H20" s="60">
        <v>1267571</v>
      </c>
      <c r="I20" s="31"/>
    </row>
    <row r="21" spans="1:9" s="12" customFormat="1" ht="17.100000000000001" customHeight="1" x14ac:dyDescent="0.3">
      <c r="A21" s="30"/>
      <c r="B21" s="41" t="s">
        <v>25</v>
      </c>
      <c r="C21" s="60">
        <v>1267739</v>
      </c>
      <c r="D21" s="60">
        <v>1267739</v>
      </c>
      <c r="E21" s="60">
        <v>1267739</v>
      </c>
      <c r="F21" s="60">
        <v>1267739</v>
      </c>
      <c r="G21" s="60">
        <v>1267739</v>
      </c>
      <c r="H21" s="60">
        <v>1267739</v>
      </c>
      <c r="I21" s="31"/>
    </row>
    <row r="22" spans="1:9" s="12" customFormat="1" ht="17.100000000000001" customHeight="1" x14ac:dyDescent="0.3">
      <c r="A22" s="30"/>
      <c r="B22" s="41" t="s">
        <v>26</v>
      </c>
      <c r="C22" s="60">
        <v>1266671</v>
      </c>
      <c r="D22" s="60">
        <v>1266671</v>
      </c>
      <c r="E22" s="60">
        <v>1266671</v>
      </c>
      <c r="F22" s="60">
        <v>1266671</v>
      </c>
      <c r="G22" s="60">
        <v>1266671</v>
      </c>
      <c r="H22" s="60">
        <v>1266671</v>
      </c>
      <c r="I22" s="31"/>
    </row>
    <row r="23" spans="1:9" s="12" customFormat="1" ht="17.100000000000001" customHeight="1" x14ac:dyDescent="0.3">
      <c r="A23" s="30"/>
      <c r="B23" s="41" t="s">
        <v>27</v>
      </c>
      <c r="C23" s="60"/>
      <c r="D23" s="60"/>
      <c r="E23" s="60"/>
      <c r="F23" s="60"/>
      <c r="G23" s="60"/>
      <c r="H23" s="61"/>
      <c r="I23" s="31"/>
    </row>
    <row r="24" spans="1:9" s="12" customFormat="1" ht="17.100000000000001" customHeight="1" x14ac:dyDescent="0.3">
      <c r="A24" s="30"/>
      <c r="B24" s="41" t="s">
        <v>14</v>
      </c>
      <c r="C24" s="62">
        <f>IFERROR((AVERAGE(C18:C23)), "")</f>
        <v>1266569.2</v>
      </c>
      <c r="D24" s="62">
        <f t="shared" ref="D24:H24" si="0">IFERROR((AVERAGE(D18:D23)), "")</f>
        <v>1266569.2</v>
      </c>
      <c r="E24" s="62">
        <f t="shared" si="0"/>
        <v>1266569.2</v>
      </c>
      <c r="F24" s="62">
        <f t="shared" si="0"/>
        <v>1266569.2</v>
      </c>
      <c r="G24" s="62">
        <f t="shared" si="0"/>
        <v>1266569.2</v>
      </c>
      <c r="H24" s="63">
        <f t="shared" si="0"/>
        <v>1266569.2</v>
      </c>
      <c r="I24" s="31"/>
    </row>
    <row r="25" spans="1:9" s="12" customFormat="1" ht="17.100000000000001" customHeight="1" x14ac:dyDescent="0.3">
      <c r="A25" s="30"/>
      <c r="B25" s="41" t="s">
        <v>0</v>
      </c>
      <c r="C25" s="2">
        <f>IFERROR((STDEV(C18:C23)), "")</f>
        <v>1386.7844821745014</v>
      </c>
      <c r="D25" s="2">
        <f t="shared" ref="D25:G25" si="1">IFERROR((STDEV(D18:D23)), "")</f>
        <v>1386.7844821745014</v>
      </c>
      <c r="E25" s="2">
        <f t="shared" si="1"/>
        <v>1386.7844821745014</v>
      </c>
      <c r="F25" s="2">
        <f t="shared" si="1"/>
        <v>1386.7844821745014</v>
      </c>
      <c r="G25" s="2">
        <f t="shared" si="1"/>
        <v>1386.7844821745014</v>
      </c>
      <c r="H25" s="3">
        <f>IFERROR((STDEV(H18:H23)), "")</f>
        <v>1386.7844821745014</v>
      </c>
      <c r="I25" s="31"/>
    </row>
    <row r="26" spans="1:9" s="12" customFormat="1" ht="17.100000000000001" customHeight="1" thickBot="1" x14ac:dyDescent="0.35">
      <c r="A26" s="30"/>
      <c r="B26" s="40" t="s">
        <v>1</v>
      </c>
      <c r="C26" s="4">
        <f>IFERROR((C25/C24*100), "")</f>
        <v>0.10949141051073256</v>
      </c>
      <c r="D26" s="4">
        <f t="shared" ref="D26:H26" si="2">IFERROR((D25/D24*100), "")</f>
        <v>0.10949141051073256</v>
      </c>
      <c r="E26" s="4">
        <f t="shared" si="2"/>
        <v>0.10949141051073256</v>
      </c>
      <c r="F26" s="4">
        <f t="shared" si="2"/>
        <v>0.10949141051073256</v>
      </c>
      <c r="G26" s="4">
        <f t="shared" si="2"/>
        <v>0.10949141051073256</v>
      </c>
      <c r="H26" s="5">
        <f t="shared" si="2"/>
        <v>0.10949141051073256</v>
      </c>
      <c r="I26" s="31"/>
    </row>
    <row r="27" spans="1:9" ht="14.4" thickBot="1" x14ac:dyDescent="0.3">
      <c r="A27" s="16"/>
      <c r="B27" s="18"/>
      <c r="C27" s="18"/>
      <c r="D27" s="18"/>
      <c r="E27" s="18"/>
      <c r="F27" s="18"/>
      <c r="G27" s="18"/>
      <c r="H27" s="18"/>
      <c r="I27" s="17"/>
    </row>
    <row r="28" spans="1:9" s="7" customFormat="1" ht="24.9" customHeight="1" thickBot="1" x14ac:dyDescent="0.35">
      <c r="A28" s="32"/>
      <c r="B28" s="68" t="s">
        <v>7</v>
      </c>
      <c r="C28" s="94">
        <f>C17</f>
        <v>0</v>
      </c>
      <c r="D28" s="94"/>
      <c r="E28" s="94"/>
      <c r="F28" s="94"/>
      <c r="G28" s="94"/>
      <c r="H28" s="95"/>
      <c r="I28" s="33"/>
    </row>
    <row r="29" spans="1:9" s="12" customFormat="1" ht="17.100000000000001" customHeight="1" x14ac:dyDescent="0.3">
      <c r="A29" s="30"/>
      <c r="B29" s="96" t="s">
        <v>2</v>
      </c>
      <c r="C29" s="69" t="s">
        <v>32</v>
      </c>
      <c r="D29" s="69" t="s">
        <v>15</v>
      </c>
      <c r="E29" s="69" t="s">
        <v>32</v>
      </c>
      <c r="F29" s="69" t="s">
        <v>15</v>
      </c>
      <c r="G29" s="69" t="s">
        <v>32</v>
      </c>
      <c r="H29" s="70" t="s">
        <v>15</v>
      </c>
      <c r="I29" s="31"/>
    </row>
    <row r="30" spans="1:9" s="12" customFormat="1" ht="17.100000000000001" customHeight="1" thickBot="1" x14ac:dyDescent="0.35">
      <c r="A30" s="30"/>
      <c r="B30" s="97"/>
      <c r="C30" s="71">
        <v>0.5</v>
      </c>
      <c r="D30" s="71">
        <v>10</v>
      </c>
      <c r="E30" s="71">
        <v>0.8</v>
      </c>
      <c r="F30" s="71">
        <v>25</v>
      </c>
      <c r="G30" s="71">
        <v>1</v>
      </c>
      <c r="H30" s="9">
        <v>1</v>
      </c>
      <c r="I30" s="31"/>
    </row>
    <row r="31" spans="1:9" s="12" customFormat="1" ht="17.100000000000001" customHeight="1" thickBot="1" x14ac:dyDescent="0.35">
      <c r="A31" s="30"/>
      <c r="B31" s="98" t="s">
        <v>10</v>
      </c>
      <c r="C31" s="48" t="s">
        <v>34</v>
      </c>
      <c r="D31" s="48" t="s">
        <v>35</v>
      </c>
      <c r="E31" s="48" t="s">
        <v>36</v>
      </c>
      <c r="F31" s="50" t="s">
        <v>16</v>
      </c>
      <c r="G31" s="73" t="s">
        <v>17</v>
      </c>
      <c r="H31" s="74"/>
      <c r="I31" s="31"/>
    </row>
    <row r="32" spans="1:9" s="12" customFormat="1" ht="17.100000000000001" customHeight="1" x14ac:dyDescent="0.3">
      <c r="A32" s="30"/>
      <c r="B32" s="81"/>
      <c r="C32" s="60">
        <v>782140</v>
      </c>
      <c r="D32" s="60">
        <v>779138</v>
      </c>
      <c r="E32" s="64">
        <f>IFERROR(AVERAGE(C32:D32),"")</f>
        <v>780639</v>
      </c>
      <c r="F32" s="57">
        <f>IFERROR(E32/$C$24*$C$14/$D$14*$E$14/$F$14*$G$14/$H$14*$H$30/$G$30*$F$30/$E$30*$D$30/$C$30*$C$10/100,"")</f>
        <v>68.777341230398235</v>
      </c>
      <c r="G32" s="75">
        <f>IFERROR((AVERAGE(F32,F34,F36)), "")</f>
        <v>68.777341230398235</v>
      </c>
      <c r="H32" s="76"/>
      <c r="I32" s="31"/>
    </row>
    <row r="33" spans="1:9" s="12" customFormat="1" ht="17.100000000000001" customHeight="1" x14ac:dyDescent="0.3">
      <c r="A33" s="30"/>
      <c r="B33" s="81" t="s">
        <v>11</v>
      </c>
      <c r="C33" s="34" t="s">
        <v>34</v>
      </c>
      <c r="D33" s="34" t="s">
        <v>35</v>
      </c>
      <c r="E33" s="34" t="s">
        <v>36</v>
      </c>
      <c r="F33" s="49" t="s">
        <v>16</v>
      </c>
      <c r="G33" s="77"/>
      <c r="H33" s="78"/>
      <c r="I33" s="31"/>
    </row>
    <row r="34" spans="1:9" s="12" customFormat="1" ht="17.100000000000001" customHeight="1" x14ac:dyDescent="0.3">
      <c r="A34" s="30"/>
      <c r="B34" s="128">
        <v>3.2040000000000002</v>
      </c>
      <c r="C34" s="65"/>
      <c r="D34" s="65"/>
      <c r="E34" s="64" t="str">
        <f>IFERROR(AVERAGE(C34:D34),"")</f>
        <v/>
      </c>
      <c r="F34" s="59" t="str">
        <f>IFERROR(E34/$C$24*$C$14/$D$14*$E$14/$F$14*$G$14/$H$14*$H$30/$G$30*$F$30/$E$30*$D$30/$C$30*$C$10/100,"")</f>
        <v/>
      </c>
      <c r="G34" s="77"/>
      <c r="H34" s="78"/>
      <c r="I34" s="31"/>
    </row>
    <row r="35" spans="1:9" s="12" customFormat="1" ht="17.100000000000001" customHeight="1" x14ac:dyDescent="0.3">
      <c r="A35" s="30"/>
      <c r="B35" s="81" t="s">
        <v>30</v>
      </c>
      <c r="C35" s="34" t="s">
        <v>34</v>
      </c>
      <c r="D35" s="34" t="s">
        <v>35</v>
      </c>
      <c r="E35" s="34" t="s">
        <v>36</v>
      </c>
      <c r="F35" s="49" t="s">
        <v>16</v>
      </c>
      <c r="G35" s="77"/>
      <c r="H35" s="78"/>
      <c r="I35" s="31"/>
    </row>
    <row r="36" spans="1:9" s="12" customFormat="1" ht="17.100000000000001" customHeight="1" thickBot="1" x14ac:dyDescent="0.35">
      <c r="A36" s="30"/>
      <c r="B36" s="97">
        <v>3.2040000000000002</v>
      </c>
      <c r="C36" s="66"/>
      <c r="D36" s="66"/>
      <c r="E36" s="67" t="str">
        <f>IFERROR(AVERAGE(C36:D36),"")</f>
        <v/>
      </c>
      <c r="F36" s="58" t="str">
        <f>IFERROR(E36/$C$24*$C$14/$D$14*$E$14/$F$14*$G$14/$H$14*$H$30/$G$30*$F$30/$E$30*$D$30/$C$30*$C$10/100,"")</f>
        <v/>
      </c>
      <c r="G36" s="79"/>
      <c r="H36" s="80"/>
      <c r="I36" s="31"/>
    </row>
    <row r="37" spans="1:9" s="12" customFormat="1" ht="17.100000000000001" customHeight="1" thickBot="1" x14ac:dyDescent="0.35">
      <c r="A37" s="30"/>
      <c r="B37" s="43"/>
      <c r="C37" s="47"/>
      <c r="D37" s="47"/>
      <c r="E37" s="44"/>
      <c r="F37" s="45"/>
      <c r="G37" s="46"/>
      <c r="H37" s="46"/>
      <c r="I37" s="31"/>
    </row>
    <row r="38" spans="1:9" s="7" customFormat="1" ht="24.9" customHeight="1" thickBot="1" x14ac:dyDescent="0.35">
      <c r="A38" s="32"/>
      <c r="B38" s="68" t="s">
        <v>7</v>
      </c>
      <c r="C38" s="94">
        <f>D17</f>
        <v>0</v>
      </c>
      <c r="D38" s="94"/>
      <c r="E38" s="94"/>
      <c r="F38" s="94"/>
      <c r="G38" s="94"/>
      <c r="H38" s="95"/>
      <c r="I38" s="33"/>
    </row>
    <row r="39" spans="1:9" s="12" customFormat="1" ht="17.100000000000001" customHeight="1" x14ac:dyDescent="0.3">
      <c r="A39" s="30"/>
      <c r="B39" s="96" t="s">
        <v>2</v>
      </c>
      <c r="C39" s="69" t="s">
        <v>32</v>
      </c>
      <c r="D39" s="69" t="s">
        <v>15</v>
      </c>
      <c r="E39" s="69" t="s">
        <v>32</v>
      </c>
      <c r="F39" s="69" t="s">
        <v>15</v>
      </c>
      <c r="G39" s="69" t="s">
        <v>32</v>
      </c>
      <c r="H39" s="70" t="s">
        <v>15</v>
      </c>
      <c r="I39" s="31"/>
    </row>
    <row r="40" spans="1:9" s="12" customFormat="1" ht="17.100000000000001" customHeight="1" thickBot="1" x14ac:dyDescent="0.35">
      <c r="A40" s="30"/>
      <c r="B40" s="97"/>
      <c r="C40" s="71">
        <v>0.5</v>
      </c>
      <c r="D40" s="71">
        <v>10</v>
      </c>
      <c r="E40" s="71">
        <v>0.8</v>
      </c>
      <c r="F40" s="71">
        <v>50</v>
      </c>
      <c r="G40" s="71">
        <v>1</v>
      </c>
      <c r="H40" s="9">
        <v>1</v>
      </c>
      <c r="I40" s="31"/>
    </row>
    <row r="41" spans="1:9" s="12" customFormat="1" ht="17.100000000000001" customHeight="1" thickBot="1" x14ac:dyDescent="0.35">
      <c r="A41" s="30"/>
      <c r="B41" s="98" t="s">
        <v>10</v>
      </c>
      <c r="C41" s="48" t="s">
        <v>34</v>
      </c>
      <c r="D41" s="48" t="s">
        <v>35</v>
      </c>
      <c r="E41" s="48" t="s">
        <v>36</v>
      </c>
      <c r="F41" s="50" t="s">
        <v>16</v>
      </c>
      <c r="G41" s="73" t="s">
        <v>17</v>
      </c>
      <c r="H41" s="74"/>
      <c r="I41" s="31"/>
    </row>
    <row r="42" spans="1:9" s="12" customFormat="1" ht="17.100000000000001" customHeight="1" x14ac:dyDescent="0.3">
      <c r="A42" s="30"/>
      <c r="B42" s="81"/>
      <c r="C42" s="60">
        <v>234947</v>
      </c>
      <c r="D42" s="60">
        <v>231538</v>
      </c>
      <c r="E42" s="64">
        <f>IFERROR(AVERAGE(C42:D42),"")</f>
        <v>233242.5</v>
      </c>
      <c r="F42" s="57">
        <f>IFERROR(E42/$D$24*$C$14/$D$14*$E$14/$F$14*$G$14/$H$14*$H$40/$G$40*$F$40/$E$40*$D$40/$C$40*$C$10/100,"")</f>
        <v>41.099148292440312</v>
      </c>
      <c r="G42" s="75">
        <f>IFERROR((AVERAGE(F42,F44,F46)), "")</f>
        <v>41.099148292440312</v>
      </c>
      <c r="H42" s="76"/>
      <c r="I42" s="31"/>
    </row>
    <row r="43" spans="1:9" s="12" customFormat="1" ht="17.100000000000001" customHeight="1" x14ac:dyDescent="0.3">
      <c r="A43" s="30"/>
      <c r="B43" s="81" t="s">
        <v>11</v>
      </c>
      <c r="C43" s="34" t="s">
        <v>34</v>
      </c>
      <c r="D43" s="34" t="s">
        <v>35</v>
      </c>
      <c r="E43" s="34" t="s">
        <v>36</v>
      </c>
      <c r="F43" s="49" t="s">
        <v>16</v>
      </c>
      <c r="G43" s="77"/>
      <c r="H43" s="78"/>
      <c r="I43" s="31"/>
    </row>
    <row r="44" spans="1:9" s="12" customFormat="1" ht="17.100000000000001" customHeight="1" x14ac:dyDescent="0.3">
      <c r="A44" s="30"/>
      <c r="B44" s="81">
        <v>3.2040000000000002</v>
      </c>
      <c r="C44" s="60"/>
      <c r="D44" s="60"/>
      <c r="E44" s="64" t="str">
        <f>IFERROR(AVERAGE(C44:D44),"")</f>
        <v/>
      </c>
      <c r="F44" s="57" t="str">
        <f>IFERROR(E44/$D$24*$C$14/$D$14*$E$14/$F$14*$G$14/$H$14*$H$40/$G$40*$F$40/$E$40*$D$40/$C$40*$C$10/100,"")</f>
        <v/>
      </c>
      <c r="G44" s="77"/>
      <c r="H44" s="78"/>
      <c r="I44" s="31"/>
    </row>
    <row r="45" spans="1:9" s="12" customFormat="1" ht="17.100000000000001" customHeight="1" x14ac:dyDescent="0.3">
      <c r="A45" s="30"/>
      <c r="B45" s="81" t="s">
        <v>30</v>
      </c>
      <c r="C45" s="34" t="s">
        <v>34</v>
      </c>
      <c r="D45" s="34" t="s">
        <v>35</v>
      </c>
      <c r="E45" s="34" t="s">
        <v>36</v>
      </c>
      <c r="F45" s="49" t="s">
        <v>16</v>
      </c>
      <c r="G45" s="77"/>
      <c r="H45" s="78"/>
      <c r="I45" s="31"/>
    </row>
    <row r="46" spans="1:9" s="12" customFormat="1" ht="17.100000000000001" customHeight="1" thickBot="1" x14ac:dyDescent="0.35">
      <c r="A46" s="30"/>
      <c r="B46" s="97">
        <v>3.2040000000000002</v>
      </c>
      <c r="C46" s="66" t="s">
        <v>37</v>
      </c>
      <c r="D46" s="66" t="s">
        <v>37</v>
      </c>
      <c r="E46" s="67" t="str">
        <f>IFERROR(AVERAGE(C46:D46),"")</f>
        <v/>
      </c>
      <c r="F46" s="58" t="str">
        <f>IFERROR(E46/$D$24*$C$14/$D$14*$E$14/$F$14*$G$14/$H$14*$H$40/$G$40*$F$40/$E$40*$D$40/$C$40*$C$10/100,"")</f>
        <v/>
      </c>
      <c r="G46" s="79"/>
      <c r="H46" s="80"/>
      <c r="I46" s="31"/>
    </row>
    <row r="47" spans="1:9" s="12" customFormat="1" ht="17.100000000000001" customHeight="1" thickBot="1" x14ac:dyDescent="0.35">
      <c r="A47" s="30"/>
      <c r="B47" s="43"/>
      <c r="C47" s="47"/>
      <c r="D47" s="47"/>
      <c r="E47" s="44"/>
      <c r="F47" s="45"/>
      <c r="G47" s="46"/>
      <c r="H47" s="46"/>
      <c r="I47" s="31"/>
    </row>
    <row r="48" spans="1:9" s="7" customFormat="1" ht="24.9" customHeight="1" thickBot="1" x14ac:dyDescent="0.35">
      <c r="A48" s="32"/>
      <c r="B48" s="68" t="s">
        <v>7</v>
      </c>
      <c r="C48" s="94">
        <f>E17</f>
        <v>0</v>
      </c>
      <c r="D48" s="94"/>
      <c r="E48" s="94"/>
      <c r="F48" s="94"/>
      <c r="G48" s="94"/>
      <c r="H48" s="95"/>
      <c r="I48" s="33"/>
    </row>
    <row r="49" spans="1:9" s="12" customFormat="1" ht="17.100000000000001" customHeight="1" x14ac:dyDescent="0.3">
      <c r="A49" s="30"/>
      <c r="B49" s="96" t="s">
        <v>2</v>
      </c>
      <c r="C49" s="69" t="s">
        <v>32</v>
      </c>
      <c r="D49" s="69" t="s">
        <v>15</v>
      </c>
      <c r="E49" s="69" t="s">
        <v>32</v>
      </c>
      <c r="F49" s="69" t="s">
        <v>15</v>
      </c>
      <c r="G49" s="69" t="s">
        <v>32</v>
      </c>
      <c r="H49" s="70" t="s">
        <v>15</v>
      </c>
      <c r="I49" s="31"/>
    </row>
    <row r="50" spans="1:9" s="12" customFormat="1" ht="17.100000000000001" customHeight="1" thickBot="1" x14ac:dyDescent="0.35">
      <c r="A50" s="30"/>
      <c r="B50" s="97"/>
      <c r="C50" s="71">
        <v>0.5</v>
      </c>
      <c r="D50" s="71">
        <v>10</v>
      </c>
      <c r="E50" s="71">
        <v>1</v>
      </c>
      <c r="F50" s="71">
        <v>50</v>
      </c>
      <c r="G50" s="71">
        <v>1</v>
      </c>
      <c r="H50" s="9">
        <v>1</v>
      </c>
      <c r="I50" s="31"/>
    </row>
    <row r="51" spans="1:9" s="12" customFormat="1" ht="17.100000000000001" customHeight="1" thickBot="1" x14ac:dyDescent="0.35">
      <c r="A51" s="30"/>
      <c r="B51" s="98" t="s">
        <v>10</v>
      </c>
      <c r="C51" s="48" t="s">
        <v>34</v>
      </c>
      <c r="D51" s="48" t="s">
        <v>35</v>
      </c>
      <c r="E51" s="48" t="s">
        <v>36</v>
      </c>
      <c r="F51" s="50" t="s">
        <v>16</v>
      </c>
      <c r="G51" s="73" t="s">
        <v>17</v>
      </c>
      <c r="H51" s="74"/>
      <c r="I51" s="31"/>
    </row>
    <row r="52" spans="1:9" s="12" customFormat="1" ht="17.100000000000001" customHeight="1" x14ac:dyDescent="0.3">
      <c r="A52" s="30"/>
      <c r="B52" s="81"/>
      <c r="C52" s="60">
        <v>241767</v>
      </c>
      <c r="D52" s="60">
        <v>250110</v>
      </c>
      <c r="E52" s="64">
        <f>IFERROR((AVERAGE(C52:D52)), "")</f>
        <v>245938.5</v>
      </c>
      <c r="F52" s="57">
        <f>IFERROR(E52/$E$24*$C$14/$D$14*$E$14/$F$14*$G$14/$H$14*$H$50/$G$50*$F$50/$E$50*$D$50/$C$50*$C$10/100,"")</f>
        <v>34.669026038806251</v>
      </c>
      <c r="G52" s="75">
        <f>IFERROR((AVERAGE(F52,F54,F56)), "")</f>
        <v>34.669026038806251</v>
      </c>
      <c r="H52" s="76"/>
      <c r="I52" s="31"/>
    </row>
    <row r="53" spans="1:9" s="12" customFormat="1" ht="17.100000000000001" customHeight="1" x14ac:dyDescent="0.3">
      <c r="A53" s="30"/>
      <c r="B53" s="81" t="s">
        <v>11</v>
      </c>
      <c r="C53" s="34" t="s">
        <v>34</v>
      </c>
      <c r="D53" s="34" t="s">
        <v>35</v>
      </c>
      <c r="E53" s="34" t="s">
        <v>36</v>
      </c>
      <c r="F53" s="49" t="s">
        <v>16</v>
      </c>
      <c r="G53" s="77"/>
      <c r="H53" s="78"/>
      <c r="I53" s="31"/>
    </row>
    <row r="54" spans="1:9" s="12" customFormat="1" ht="17.100000000000001" customHeight="1" x14ac:dyDescent="0.3">
      <c r="A54" s="30"/>
      <c r="B54" s="81">
        <v>3.2040000000000002</v>
      </c>
      <c r="C54" s="60"/>
      <c r="D54" s="60"/>
      <c r="E54" s="64" t="str">
        <f>IFERROR(AVERAGE(C54:D54),"")</f>
        <v/>
      </c>
      <c r="F54" s="57" t="str">
        <f>IFERROR(E54/$E$24*$C$14/$D$14*$E$14/$F$14*$G$14/$H$14*$H$50/$G$50*$F$50/$E$50*$D$50/$C$50*$C$10/100,"")</f>
        <v/>
      </c>
      <c r="G54" s="77"/>
      <c r="H54" s="78"/>
      <c r="I54" s="31"/>
    </row>
    <row r="55" spans="1:9" s="12" customFormat="1" ht="17.100000000000001" customHeight="1" x14ac:dyDescent="0.3">
      <c r="A55" s="30"/>
      <c r="B55" s="98" t="s">
        <v>30</v>
      </c>
      <c r="C55" s="34" t="s">
        <v>34</v>
      </c>
      <c r="D55" s="34" t="s">
        <v>35</v>
      </c>
      <c r="E55" s="48" t="s">
        <v>36</v>
      </c>
      <c r="F55" s="50" t="s">
        <v>16</v>
      </c>
      <c r="G55" s="77"/>
      <c r="H55" s="78"/>
      <c r="I55" s="31"/>
    </row>
    <row r="56" spans="1:9" s="12" customFormat="1" ht="17.100000000000001" customHeight="1" thickBot="1" x14ac:dyDescent="0.35">
      <c r="A56" s="30"/>
      <c r="B56" s="97">
        <v>3.2040000000000002</v>
      </c>
      <c r="C56" s="66"/>
      <c r="D56" s="66"/>
      <c r="E56" s="67" t="str">
        <f>IFERROR(AVERAGE(C56:D56),"")</f>
        <v/>
      </c>
      <c r="F56" s="58" t="str">
        <f>IFERROR(E56/$E$24*$C$14/$D$14*$E$14/$F$14*$G$14/$H$14*$H$50/$G$50*$F$50/$E$50*$D$50/$C$50*$C$10/100,"")</f>
        <v/>
      </c>
      <c r="G56" s="79"/>
      <c r="H56" s="80"/>
      <c r="I56" s="31"/>
    </row>
    <row r="57" spans="1:9" s="12" customFormat="1" ht="17.100000000000001" customHeight="1" thickBot="1" x14ac:dyDescent="0.35">
      <c r="A57" s="30"/>
      <c r="B57" s="43"/>
      <c r="C57" s="47"/>
      <c r="D57" s="47"/>
      <c r="E57" s="44"/>
      <c r="F57" s="45"/>
      <c r="G57" s="46"/>
      <c r="H57" s="46"/>
      <c r="I57" s="31"/>
    </row>
    <row r="58" spans="1:9" s="7" customFormat="1" ht="24.9" customHeight="1" thickBot="1" x14ac:dyDescent="0.35">
      <c r="A58" s="32"/>
      <c r="B58" s="68" t="s">
        <v>7</v>
      </c>
      <c r="C58" s="94">
        <f>F17</f>
        <v>0</v>
      </c>
      <c r="D58" s="94"/>
      <c r="E58" s="94"/>
      <c r="F58" s="94"/>
      <c r="G58" s="94"/>
      <c r="H58" s="95"/>
      <c r="I58" s="33"/>
    </row>
    <row r="59" spans="1:9" s="12" customFormat="1" ht="17.100000000000001" customHeight="1" x14ac:dyDescent="0.3">
      <c r="A59" s="30"/>
      <c r="B59" s="96" t="s">
        <v>2</v>
      </c>
      <c r="C59" s="69" t="s">
        <v>32</v>
      </c>
      <c r="D59" s="69" t="s">
        <v>15</v>
      </c>
      <c r="E59" s="69" t="s">
        <v>32</v>
      </c>
      <c r="F59" s="69" t="s">
        <v>15</v>
      </c>
      <c r="G59" s="69" t="s">
        <v>32</v>
      </c>
      <c r="H59" s="70" t="s">
        <v>15</v>
      </c>
      <c r="I59" s="31"/>
    </row>
    <row r="60" spans="1:9" s="12" customFormat="1" ht="17.100000000000001" customHeight="1" thickBot="1" x14ac:dyDescent="0.35">
      <c r="A60" s="30"/>
      <c r="B60" s="97"/>
      <c r="C60" s="71">
        <v>5</v>
      </c>
      <c r="D60" s="71">
        <v>25</v>
      </c>
      <c r="E60" s="71">
        <v>1</v>
      </c>
      <c r="F60" s="71">
        <v>1</v>
      </c>
      <c r="G60" s="71">
        <v>1</v>
      </c>
      <c r="H60" s="9">
        <v>1</v>
      </c>
      <c r="I60" s="31"/>
    </row>
    <row r="61" spans="1:9" s="12" customFormat="1" ht="17.100000000000001" customHeight="1" thickBot="1" x14ac:dyDescent="0.35">
      <c r="A61" s="30"/>
      <c r="B61" s="98" t="s">
        <v>10</v>
      </c>
      <c r="C61" s="48" t="s">
        <v>34</v>
      </c>
      <c r="D61" s="48" t="s">
        <v>35</v>
      </c>
      <c r="E61" s="48" t="s">
        <v>36</v>
      </c>
      <c r="F61" s="50" t="s">
        <v>16</v>
      </c>
      <c r="G61" s="73" t="s">
        <v>17</v>
      </c>
      <c r="H61" s="74"/>
      <c r="I61" s="31"/>
    </row>
    <row r="62" spans="1:9" s="12" customFormat="1" ht="17.100000000000001" customHeight="1" x14ac:dyDescent="0.3">
      <c r="A62" s="30"/>
      <c r="B62" s="81"/>
      <c r="C62" s="60"/>
      <c r="D62" s="60"/>
      <c r="E62" s="64" t="str">
        <f>IFERROR((AVERAGE(C62:D62)), "")</f>
        <v/>
      </c>
      <c r="F62" s="57" t="str">
        <f>IFERROR((E62/$F$24*$C$14/$D$14*$E$14/$F$14*$G$14/$H$14*$H$60/$G$60*$F$60/$E$60*$D$60/$C$60*$C$10/100), "")</f>
        <v/>
      </c>
      <c r="G62" s="112" t="str">
        <f>IFERROR((AVERAGE(F62,F64,F66)), "")</f>
        <v/>
      </c>
      <c r="H62" s="113"/>
      <c r="I62" s="31"/>
    </row>
    <row r="63" spans="1:9" s="12" customFormat="1" ht="17.100000000000001" customHeight="1" x14ac:dyDescent="0.3">
      <c r="A63" s="30"/>
      <c r="B63" s="81" t="s">
        <v>11</v>
      </c>
      <c r="C63" s="34" t="s">
        <v>34</v>
      </c>
      <c r="D63" s="34" t="s">
        <v>35</v>
      </c>
      <c r="E63" s="34" t="s">
        <v>36</v>
      </c>
      <c r="F63" s="49" t="s">
        <v>16</v>
      </c>
      <c r="G63" s="114"/>
      <c r="H63" s="115"/>
      <c r="I63" s="31"/>
    </row>
    <row r="64" spans="1:9" s="12" customFormat="1" ht="17.100000000000001" customHeight="1" x14ac:dyDescent="0.3">
      <c r="A64" s="30"/>
      <c r="B64" s="81">
        <v>3.2040000000000002</v>
      </c>
      <c r="C64" s="60"/>
      <c r="D64" s="60"/>
      <c r="E64" s="64" t="str">
        <f>IFERROR(AVERAGE(C64:D64),"")</f>
        <v/>
      </c>
      <c r="F64" s="57" t="str">
        <f>IFERROR(E64/$F$24*$C$14/$D$14*$E$14/$F$14*$G$14/$H$14*$H$60/$G$60*$F$60/$E$60*$D$60/$C$60*$C$10/100,"")</f>
        <v/>
      </c>
      <c r="G64" s="114"/>
      <c r="H64" s="115"/>
      <c r="I64" s="31"/>
    </row>
    <row r="65" spans="1:9" s="12" customFormat="1" ht="17.100000000000001" customHeight="1" x14ac:dyDescent="0.3">
      <c r="A65" s="30"/>
      <c r="B65" s="98" t="s">
        <v>30</v>
      </c>
      <c r="C65" s="34" t="s">
        <v>34</v>
      </c>
      <c r="D65" s="34" t="s">
        <v>35</v>
      </c>
      <c r="E65" s="48" t="s">
        <v>36</v>
      </c>
      <c r="F65" s="50" t="s">
        <v>16</v>
      </c>
      <c r="G65" s="114"/>
      <c r="H65" s="115"/>
      <c r="I65" s="31"/>
    </row>
    <row r="66" spans="1:9" s="12" customFormat="1" ht="17.100000000000001" customHeight="1" thickBot="1" x14ac:dyDescent="0.35">
      <c r="A66" s="30"/>
      <c r="B66" s="97">
        <v>3.2040000000000002</v>
      </c>
      <c r="C66" s="66"/>
      <c r="D66" s="66"/>
      <c r="E66" s="67" t="str">
        <f>IFERROR(AVERAGE(C66:D66),"")</f>
        <v/>
      </c>
      <c r="F66" s="58" t="str">
        <f>IFERROR(E66/$F$24*$C$14/$D$14*$E$14/$F$14*$G$14/$H$14*$H$60/$G$60*$F$60/$E$60*$D$60/$C$60*$C$10/100,"")</f>
        <v/>
      </c>
      <c r="G66" s="116"/>
      <c r="H66" s="117"/>
      <c r="I66" s="31"/>
    </row>
    <row r="67" spans="1:9" s="12" customFormat="1" ht="17.100000000000001" customHeight="1" thickBot="1" x14ac:dyDescent="0.35">
      <c r="A67" s="30"/>
      <c r="B67" s="43"/>
      <c r="C67" s="47"/>
      <c r="D67" s="47"/>
      <c r="E67" s="44"/>
      <c r="F67" s="45"/>
      <c r="G67" s="46"/>
      <c r="H67" s="46"/>
      <c r="I67" s="31"/>
    </row>
    <row r="68" spans="1:9" s="7" customFormat="1" ht="24.9" customHeight="1" thickBot="1" x14ac:dyDescent="0.35">
      <c r="A68" s="32"/>
      <c r="B68" s="68" t="s">
        <v>7</v>
      </c>
      <c r="C68" s="94">
        <f>G17</f>
        <v>0</v>
      </c>
      <c r="D68" s="94"/>
      <c r="E68" s="94"/>
      <c r="F68" s="94"/>
      <c r="G68" s="94"/>
      <c r="H68" s="95"/>
      <c r="I68" s="33"/>
    </row>
    <row r="69" spans="1:9" s="12" customFormat="1" ht="17.100000000000001" customHeight="1" x14ac:dyDescent="0.3">
      <c r="A69" s="30"/>
      <c r="B69" s="96" t="s">
        <v>2</v>
      </c>
      <c r="C69" s="69" t="s">
        <v>32</v>
      </c>
      <c r="D69" s="69" t="s">
        <v>15</v>
      </c>
      <c r="E69" s="69" t="s">
        <v>32</v>
      </c>
      <c r="F69" s="69" t="s">
        <v>15</v>
      </c>
      <c r="G69" s="69" t="s">
        <v>32</v>
      </c>
      <c r="H69" s="70" t="s">
        <v>15</v>
      </c>
      <c r="I69" s="31"/>
    </row>
    <row r="70" spans="1:9" s="12" customFormat="1" ht="17.100000000000001" customHeight="1" thickBot="1" x14ac:dyDescent="0.35">
      <c r="A70" s="30"/>
      <c r="B70" s="97"/>
      <c r="C70" s="71">
        <v>5</v>
      </c>
      <c r="D70" s="71">
        <v>25</v>
      </c>
      <c r="E70" s="71">
        <v>1</v>
      </c>
      <c r="F70" s="71">
        <v>1</v>
      </c>
      <c r="G70" s="71">
        <v>1</v>
      </c>
      <c r="H70" s="9">
        <v>1</v>
      </c>
      <c r="I70" s="31"/>
    </row>
    <row r="71" spans="1:9" s="12" customFormat="1" ht="17.100000000000001" customHeight="1" thickBot="1" x14ac:dyDescent="0.35">
      <c r="A71" s="30"/>
      <c r="B71" s="98" t="s">
        <v>10</v>
      </c>
      <c r="C71" s="48" t="s">
        <v>34</v>
      </c>
      <c r="D71" s="48" t="s">
        <v>35</v>
      </c>
      <c r="E71" s="48" t="s">
        <v>36</v>
      </c>
      <c r="F71" s="50" t="s">
        <v>16</v>
      </c>
      <c r="G71" s="73" t="s">
        <v>17</v>
      </c>
      <c r="H71" s="74"/>
      <c r="I71" s="31"/>
    </row>
    <row r="72" spans="1:9" s="12" customFormat="1" ht="17.100000000000001" customHeight="1" x14ac:dyDescent="0.3">
      <c r="A72" s="30"/>
      <c r="B72" s="81"/>
      <c r="C72" s="60"/>
      <c r="D72" s="60"/>
      <c r="E72" s="64" t="str">
        <f>IFERROR((AVERAGE(C72:D72)), "")</f>
        <v/>
      </c>
      <c r="F72" s="57" t="str">
        <f>IFERROR((E72/$G$24*$C$14/$D$14*$E$14/$F$14*$G$14/$H$14*$H$70/$G$70*$F$70/$E$70*$D$70/$C$70*$C$10/100), "")</f>
        <v/>
      </c>
      <c r="G72" s="118" t="str">
        <f>IFERROR((AVERAGE(F72,F74,F76)), "")</f>
        <v/>
      </c>
      <c r="H72" s="119"/>
      <c r="I72" s="31"/>
    </row>
    <row r="73" spans="1:9" s="12" customFormat="1" ht="17.100000000000001" customHeight="1" x14ac:dyDescent="0.3">
      <c r="A73" s="30"/>
      <c r="B73" s="81" t="s">
        <v>11</v>
      </c>
      <c r="C73" s="34" t="s">
        <v>34</v>
      </c>
      <c r="D73" s="34" t="s">
        <v>35</v>
      </c>
      <c r="E73" s="34" t="s">
        <v>36</v>
      </c>
      <c r="F73" s="49" t="s">
        <v>16</v>
      </c>
      <c r="G73" s="120"/>
      <c r="H73" s="121"/>
      <c r="I73" s="31"/>
    </row>
    <row r="74" spans="1:9" s="12" customFormat="1" ht="17.100000000000001" customHeight="1" x14ac:dyDescent="0.3">
      <c r="A74" s="30"/>
      <c r="B74" s="81">
        <v>3.2040000000000002</v>
      </c>
      <c r="C74" s="60"/>
      <c r="D74" s="60"/>
      <c r="E74" s="64" t="str">
        <f>IFERROR(AVERAGE(C74:D74),"")</f>
        <v/>
      </c>
      <c r="F74" s="57" t="str">
        <f>IFERROR(E74/$G$24*$C$14/$D$14*$E$14/$F$14*$G$14/$H$14*$H$70/$G$70*$F$70/$E$70*$D$70/$C$70*$C$10/100,"")</f>
        <v/>
      </c>
      <c r="G74" s="120"/>
      <c r="H74" s="121"/>
      <c r="I74" s="31"/>
    </row>
    <row r="75" spans="1:9" s="12" customFormat="1" ht="17.100000000000001" customHeight="1" x14ac:dyDescent="0.3">
      <c r="A75" s="30"/>
      <c r="B75" s="98" t="s">
        <v>30</v>
      </c>
      <c r="C75" s="34" t="s">
        <v>34</v>
      </c>
      <c r="D75" s="34" t="s">
        <v>35</v>
      </c>
      <c r="E75" s="48" t="s">
        <v>36</v>
      </c>
      <c r="F75" s="50" t="s">
        <v>16</v>
      </c>
      <c r="G75" s="120"/>
      <c r="H75" s="121"/>
      <c r="I75" s="31"/>
    </row>
    <row r="76" spans="1:9" s="12" customFormat="1" ht="17.100000000000001" customHeight="1" thickBot="1" x14ac:dyDescent="0.35">
      <c r="A76" s="30"/>
      <c r="B76" s="97">
        <v>3.2040000000000002</v>
      </c>
      <c r="C76" s="66"/>
      <c r="D76" s="66"/>
      <c r="E76" s="67" t="str">
        <f>IFERROR(AVERAGE(C76:D76),"")</f>
        <v/>
      </c>
      <c r="F76" s="58" t="str">
        <f>IFERROR(E76/$G$24*$C$14/$D$14*$E$14/$F$14*$G$14/$H$14*$H$70/$G$70*$F$70/$E$70*$D$70/$C$70*$C$10/100,"")</f>
        <v/>
      </c>
      <c r="G76" s="122"/>
      <c r="H76" s="123"/>
      <c r="I76" s="31"/>
    </row>
    <row r="77" spans="1:9" ht="14.4" thickBot="1" x14ac:dyDescent="0.3">
      <c r="A77" s="16"/>
      <c r="B77" s="18"/>
      <c r="C77" s="18"/>
      <c r="D77" s="18"/>
      <c r="E77" s="18"/>
      <c r="F77" s="18"/>
      <c r="G77" s="18"/>
      <c r="H77" s="18"/>
      <c r="I77" s="17"/>
    </row>
    <row r="78" spans="1:9" s="7" customFormat="1" ht="24.9" customHeight="1" thickBot="1" x14ac:dyDescent="0.35">
      <c r="A78" s="32"/>
      <c r="B78" s="68" t="s">
        <v>7</v>
      </c>
      <c r="C78" s="94">
        <f>H17</f>
        <v>0</v>
      </c>
      <c r="D78" s="94"/>
      <c r="E78" s="94"/>
      <c r="F78" s="94"/>
      <c r="G78" s="94"/>
      <c r="H78" s="95"/>
      <c r="I78" s="33"/>
    </row>
    <row r="79" spans="1:9" s="12" customFormat="1" ht="17.100000000000001" customHeight="1" x14ac:dyDescent="0.3">
      <c r="A79" s="30"/>
      <c r="B79" s="96" t="s">
        <v>2</v>
      </c>
      <c r="C79" s="69" t="s">
        <v>32</v>
      </c>
      <c r="D79" s="69" t="s">
        <v>15</v>
      </c>
      <c r="E79" s="69" t="s">
        <v>32</v>
      </c>
      <c r="F79" s="69" t="s">
        <v>15</v>
      </c>
      <c r="G79" s="69" t="s">
        <v>32</v>
      </c>
      <c r="H79" s="70" t="s">
        <v>15</v>
      </c>
      <c r="I79" s="31"/>
    </row>
    <row r="80" spans="1:9" s="12" customFormat="1" ht="17.100000000000001" customHeight="1" thickBot="1" x14ac:dyDescent="0.35">
      <c r="A80" s="30"/>
      <c r="B80" s="97"/>
      <c r="C80" s="71">
        <v>5</v>
      </c>
      <c r="D80" s="71">
        <v>25</v>
      </c>
      <c r="E80" s="71">
        <v>1</v>
      </c>
      <c r="F80" s="71">
        <v>1</v>
      </c>
      <c r="G80" s="71">
        <v>1</v>
      </c>
      <c r="H80" s="9">
        <v>1</v>
      </c>
      <c r="I80" s="31"/>
    </row>
    <row r="81" spans="1:9" s="12" customFormat="1" ht="17.100000000000001" customHeight="1" thickBot="1" x14ac:dyDescent="0.35">
      <c r="A81" s="30"/>
      <c r="B81" s="98" t="s">
        <v>10</v>
      </c>
      <c r="C81" s="48" t="s">
        <v>34</v>
      </c>
      <c r="D81" s="48" t="s">
        <v>35</v>
      </c>
      <c r="E81" s="48" t="s">
        <v>36</v>
      </c>
      <c r="F81" s="50" t="s">
        <v>16</v>
      </c>
      <c r="G81" s="73" t="s">
        <v>17</v>
      </c>
      <c r="H81" s="74"/>
      <c r="I81" s="31"/>
    </row>
    <row r="82" spans="1:9" s="12" customFormat="1" ht="17.100000000000001" customHeight="1" x14ac:dyDescent="0.3">
      <c r="A82" s="30"/>
      <c r="B82" s="81"/>
      <c r="C82" s="60"/>
      <c r="D82" s="60"/>
      <c r="E82" s="64" t="str">
        <f>IFERROR((AVERAGE(C82:D82)), "")</f>
        <v/>
      </c>
      <c r="F82" s="57" t="str">
        <f>IFERROR((E82/$H$24*$C$14/$D$14*$E$14/$F$14*$G$14/$H$14*$H$80/$G$80*$F$80/$E$80*$D$80/$C$80*$C$10/100), "")</f>
        <v/>
      </c>
      <c r="G82" s="75" t="str">
        <f>IFERROR((AVERAGE(F82,F84,F86)), "")</f>
        <v/>
      </c>
      <c r="H82" s="76"/>
      <c r="I82" s="31"/>
    </row>
    <row r="83" spans="1:9" s="12" customFormat="1" ht="17.100000000000001" customHeight="1" x14ac:dyDescent="0.3">
      <c r="A83" s="30"/>
      <c r="B83" s="81" t="s">
        <v>11</v>
      </c>
      <c r="C83" s="34" t="s">
        <v>34</v>
      </c>
      <c r="D83" s="34" t="s">
        <v>35</v>
      </c>
      <c r="E83" s="34" t="s">
        <v>36</v>
      </c>
      <c r="F83" s="49" t="s">
        <v>16</v>
      </c>
      <c r="G83" s="77"/>
      <c r="H83" s="78"/>
      <c r="I83" s="31"/>
    </row>
    <row r="84" spans="1:9" s="12" customFormat="1" ht="17.100000000000001" customHeight="1" x14ac:dyDescent="0.3">
      <c r="A84" s="30"/>
      <c r="B84" s="81">
        <v>3.2040000000000002</v>
      </c>
      <c r="C84" s="60"/>
      <c r="D84" s="60"/>
      <c r="E84" s="64" t="str">
        <f>IFERROR(AVERAGE(C84:D84),"")</f>
        <v/>
      </c>
      <c r="F84" s="57" t="str">
        <f>IFERROR((E84/$H$24*$C$14/$D$14*$E$14/$F$14*$G$14/$H$14*$H$80/$G$80*$F$80/$E$80*$D$80/$C$80*$C$10/100), "")</f>
        <v/>
      </c>
      <c r="G84" s="77"/>
      <c r="H84" s="78"/>
      <c r="I84" s="31"/>
    </row>
    <row r="85" spans="1:9" s="12" customFormat="1" ht="17.100000000000001" customHeight="1" x14ac:dyDescent="0.3">
      <c r="A85" s="30"/>
      <c r="B85" s="81" t="s">
        <v>30</v>
      </c>
      <c r="C85" s="34" t="s">
        <v>34</v>
      </c>
      <c r="D85" s="34" t="s">
        <v>35</v>
      </c>
      <c r="E85" s="34" t="s">
        <v>36</v>
      </c>
      <c r="F85" s="49" t="s">
        <v>16</v>
      </c>
      <c r="G85" s="77"/>
      <c r="H85" s="78"/>
      <c r="I85" s="31"/>
    </row>
    <row r="86" spans="1:9" s="12" customFormat="1" ht="17.100000000000001" customHeight="1" thickBot="1" x14ac:dyDescent="0.35">
      <c r="A86" s="30"/>
      <c r="B86" s="97">
        <v>3.2040000000000002</v>
      </c>
      <c r="C86" s="66"/>
      <c r="D86" s="66"/>
      <c r="E86" s="67" t="str">
        <f>IFERROR(AVERAGE(C86:D86),"")</f>
        <v/>
      </c>
      <c r="F86" s="58" t="str">
        <f>IFERROR((E86/$H$24*$C$14/$D$14*$E$14/$F$14*$G$14/$H$14*$H$80/$G$80*$F$80/$E$80*$D$80/$C$80*$C$10/100), "")</f>
        <v/>
      </c>
      <c r="G86" s="79"/>
      <c r="H86" s="80"/>
      <c r="I86" s="31"/>
    </row>
    <row r="87" spans="1:9" ht="14.4" thickBot="1" x14ac:dyDescent="0.3">
      <c r="A87" s="16"/>
      <c r="B87" s="18"/>
      <c r="C87" s="18"/>
      <c r="D87" s="18"/>
      <c r="E87" s="18"/>
      <c r="F87" s="18"/>
      <c r="G87" s="18"/>
      <c r="H87" s="18"/>
      <c r="I87" s="17"/>
    </row>
    <row r="88" spans="1:9" x14ac:dyDescent="0.25">
      <c r="A88" s="16"/>
      <c r="B88" s="103" t="s">
        <v>4</v>
      </c>
      <c r="C88" s="106"/>
      <c r="D88" s="107"/>
      <c r="E88" s="18"/>
      <c r="F88" s="103" t="s">
        <v>5</v>
      </c>
      <c r="G88" s="106"/>
      <c r="H88" s="107"/>
      <c r="I88" s="17"/>
    </row>
    <row r="89" spans="1:9" x14ac:dyDescent="0.25">
      <c r="A89" s="16"/>
      <c r="B89" s="104"/>
      <c r="C89" s="108"/>
      <c r="D89" s="109"/>
      <c r="E89" s="18"/>
      <c r="F89" s="104"/>
      <c r="G89" s="108"/>
      <c r="H89" s="109"/>
      <c r="I89" s="17"/>
    </row>
    <row r="90" spans="1:9" x14ac:dyDescent="0.25">
      <c r="A90" s="16"/>
      <c r="B90" s="104"/>
      <c r="C90" s="108"/>
      <c r="D90" s="109"/>
      <c r="E90" s="18"/>
      <c r="F90" s="104"/>
      <c r="G90" s="108"/>
      <c r="H90" s="109"/>
      <c r="I90" s="17"/>
    </row>
    <row r="91" spans="1:9" x14ac:dyDescent="0.25">
      <c r="A91" s="16"/>
      <c r="B91" s="104"/>
      <c r="C91" s="108"/>
      <c r="D91" s="109"/>
      <c r="E91" s="18"/>
      <c r="F91" s="104"/>
      <c r="G91" s="108"/>
      <c r="H91" s="109"/>
      <c r="I91" s="17"/>
    </row>
    <row r="92" spans="1:9" ht="14.4" thickBot="1" x14ac:dyDescent="0.3">
      <c r="A92" s="16"/>
      <c r="B92" s="105"/>
      <c r="C92" s="110"/>
      <c r="D92" s="111"/>
      <c r="E92" s="18"/>
      <c r="F92" s="105"/>
      <c r="G92" s="110"/>
      <c r="H92" s="111"/>
      <c r="I92" s="17"/>
    </row>
    <row r="93" spans="1:9" ht="14.4" thickBot="1" x14ac:dyDescent="0.3">
      <c r="A93" s="35"/>
      <c r="B93" s="36"/>
      <c r="C93" s="36"/>
      <c r="D93" s="36"/>
      <c r="E93" s="36"/>
      <c r="F93" s="36"/>
      <c r="G93" s="36"/>
      <c r="H93" s="36"/>
      <c r="I93" s="37"/>
    </row>
  </sheetData>
  <mergeCells count="56">
    <mergeCell ref="B29:B30"/>
    <mergeCell ref="B39:B40"/>
    <mergeCell ref="B51:B52"/>
    <mergeCell ref="B10:B11"/>
    <mergeCell ref="C10:C11"/>
    <mergeCell ref="B31:B32"/>
    <mergeCell ref="B33:B34"/>
    <mergeCell ref="G71:H71"/>
    <mergeCell ref="G81:H81"/>
    <mergeCell ref="G62:H66"/>
    <mergeCell ref="G72:H76"/>
    <mergeCell ref="G82:H86"/>
    <mergeCell ref="B88:B92"/>
    <mergeCell ref="C88:D92"/>
    <mergeCell ref="B59:B60"/>
    <mergeCell ref="B69:B70"/>
    <mergeCell ref="B79:B80"/>
    <mergeCell ref="B75:B76"/>
    <mergeCell ref="B85:B86"/>
    <mergeCell ref="B81:B82"/>
    <mergeCell ref="B83:B84"/>
    <mergeCell ref="C68:H68"/>
    <mergeCell ref="B71:B72"/>
    <mergeCell ref="B73:B74"/>
    <mergeCell ref="C78:H78"/>
    <mergeCell ref="F88:F92"/>
    <mergeCell ref="G88:H92"/>
    <mergeCell ref="G61:H61"/>
    <mergeCell ref="B65:B66"/>
    <mergeCell ref="C38:H38"/>
    <mergeCell ref="B41:B42"/>
    <mergeCell ref="B43:B44"/>
    <mergeCell ref="C58:H58"/>
    <mergeCell ref="B61:B62"/>
    <mergeCell ref="B63:B64"/>
    <mergeCell ref="G51:H51"/>
    <mergeCell ref="B49:B50"/>
    <mergeCell ref="C48:H48"/>
    <mergeCell ref="B45:B46"/>
    <mergeCell ref="G42:H46"/>
    <mergeCell ref="G31:H31"/>
    <mergeCell ref="G41:H41"/>
    <mergeCell ref="G52:H56"/>
    <mergeCell ref="B53:B54"/>
    <mergeCell ref="B2:H2"/>
    <mergeCell ref="B3:H3"/>
    <mergeCell ref="B4:H4"/>
    <mergeCell ref="B16:H16"/>
    <mergeCell ref="B5:H5"/>
    <mergeCell ref="C28:H28"/>
    <mergeCell ref="B13:B14"/>
    <mergeCell ref="B55:B56"/>
    <mergeCell ref="C7:E7"/>
    <mergeCell ref="C8:E8"/>
    <mergeCell ref="B35:B36"/>
    <mergeCell ref="G32:H36"/>
  </mergeCells>
  <pageMargins left="0.39370078740157483" right="0.19685039370078741" top="0.19685039370078741" bottom="0.19685039370078741" header="0" footer="0"/>
  <pageSetup paperSize="9" scale="48" orientation="portrait" r:id="rId1"/>
  <rowBreaks count="1" manualBreakCount="1">
    <brk id="34" max="8" man="1"/>
  </rowBreaks>
  <colBreaks count="1" manualBreakCount="1">
    <brk id="3" max="8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Saturated Solubility</vt:lpstr>
      <vt:lpstr>'Saturated Solubility'!Print_Area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2026-06-24T10:24:45Z</dcterms:modified>
</cp:coreProperties>
</file>