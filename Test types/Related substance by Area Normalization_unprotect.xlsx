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31.104.15\Analytical NDDS_1\1) Analytical Planning\Calculation sheet_AD_NDDS\Routine analysis\"/>
    </mc:Choice>
  </mc:AlternateContent>
  <xr:revisionPtr revIDLastSave="0" documentId="13_ncr:1_{017E9B18-E395-4BA0-8EAE-2E5E35177D15}" xr6:coauthVersionLast="36" xr6:coauthVersionMax="36" xr10:uidLastSave="{00000000-0000-0000-0000-000000000000}"/>
  <bookViews>
    <workbookView xWindow="0" yWindow="0" windowWidth="20496" windowHeight="7656" tabRatio="953" xr2:uid="{00000000-000D-0000-FFFF-FFFF00000000}"/>
  </bookViews>
  <sheets>
    <sheet name="BICTE API (2)" sheetId="14" r:id="rId1"/>
  </sheets>
  <definedNames>
    <definedName name="_xlnm.Print_Area" localSheetId="0">'BICTE API (2)'!$A$1:$H$75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4" l="1"/>
  <c r="E52" i="14"/>
  <c r="E53" i="14"/>
  <c r="E54" i="14"/>
  <c r="E42" i="14"/>
  <c r="E43" i="14"/>
  <c r="E44" i="14"/>
  <c r="E45" i="14"/>
  <c r="E46" i="14"/>
  <c r="E47" i="14"/>
  <c r="E48" i="14"/>
  <c r="E68" i="14" l="1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0" i="14"/>
  <c r="E49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C24" i="14"/>
  <c r="C8" i="14"/>
  <c r="G67" i="14" l="1"/>
  <c r="G51" i="14"/>
  <c r="G44" i="14"/>
  <c r="G52" i="14"/>
  <c r="G45" i="14"/>
  <c r="G53" i="14"/>
  <c r="G46" i="14"/>
  <c r="G54" i="14"/>
  <c r="G47" i="14"/>
  <c r="G42" i="14"/>
  <c r="G48" i="14"/>
  <c r="G43" i="14"/>
  <c r="G29" i="14"/>
  <c r="G31" i="14"/>
  <c r="G33" i="14"/>
  <c r="G35" i="14"/>
  <c r="G37" i="14"/>
  <c r="G39" i="14"/>
  <c r="G41" i="14"/>
  <c r="G50" i="14"/>
  <c r="G56" i="14"/>
  <c r="G58" i="14"/>
  <c r="G60" i="14"/>
  <c r="G62" i="14"/>
  <c r="G64" i="14"/>
  <c r="G66" i="14"/>
  <c r="G68" i="14"/>
  <c r="G30" i="14"/>
  <c r="G32" i="14"/>
  <c r="G34" i="14"/>
  <c r="G36" i="14"/>
  <c r="G38" i="14"/>
  <c r="G40" i="14"/>
  <c r="G49" i="14"/>
  <c r="G55" i="14"/>
  <c r="G57" i="14"/>
  <c r="G59" i="14"/>
  <c r="G61" i="14"/>
  <c r="G63" i="14"/>
  <c r="G65" i="14"/>
  <c r="G70" i="14" l="1"/>
  <c r="G69" i="14"/>
</calcChain>
</file>

<file path=xl/sharedStrings.xml><?xml version="1.0" encoding="utf-8"?>
<sst xmlns="http://schemas.openxmlformats.org/spreadsheetml/2006/main" count="46" uniqueCount="38">
  <si>
    <t>Date</t>
  </si>
  <si>
    <t>RT</t>
  </si>
  <si>
    <t>Single Max Impurity</t>
  </si>
  <si>
    <t xml:space="preserve">%Total Impurities </t>
  </si>
  <si>
    <t>RRT</t>
  </si>
  <si>
    <t xml:space="preserve"> Analytical Development </t>
  </si>
  <si>
    <t>Batch No.</t>
  </si>
  <si>
    <t>Av. Wt. (mg)</t>
  </si>
  <si>
    <t>Sample wt (mg)</t>
  </si>
  <si>
    <t xml:space="preserve">Unknown </t>
  </si>
  <si>
    <t xml:space="preserve">Area </t>
  </si>
  <si>
    <t>Related Substance (By Area Normalization)</t>
  </si>
  <si>
    <t>Date of Analysis</t>
  </si>
  <si>
    <t>Main Peak Area in Test solution</t>
  </si>
  <si>
    <t>Total Area</t>
  </si>
  <si>
    <t>Main Peak RT</t>
  </si>
  <si>
    <t>Analysed By</t>
  </si>
  <si>
    <t>Checked By</t>
  </si>
  <si>
    <t>Impurity Name</t>
  </si>
  <si>
    <t>% Impurity</t>
  </si>
  <si>
    <t>mL</t>
  </si>
  <si>
    <t>Emcure</t>
  </si>
  <si>
    <t>RRF</t>
  </si>
  <si>
    <t>TRF No.</t>
  </si>
  <si>
    <t>AR No.</t>
  </si>
  <si>
    <t>Generic Name</t>
  </si>
  <si>
    <t>Product Name</t>
  </si>
  <si>
    <t>Analysis as per</t>
  </si>
  <si>
    <t>Test</t>
  </si>
  <si>
    <t>Instrument Id.</t>
  </si>
  <si>
    <t>Label Claim</t>
  </si>
  <si>
    <t>AD/HPLC/009</t>
  </si>
  <si>
    <t>Bictegravir,Emtricitabine and Tenofovir Alafenamide Tablets 50mg/200mg/25mg</t>
  </si>
  <si>
    <t>50 mg Bictegravir</t>
  </si>
  <si>
    <t>EP20_543-026_initial_Bictegravir</t>
  </si>
  <si>
    <t>Related Substance (Bictegravir)</t>
  </si>
  <si>
    <t>Jetan patel</t>
  </si>
  <si>
    <t>R&amp;D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</si>
</sst>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FF0000"/>
      <name val="Arial"/>
      <family val="2"/>
    </font>
    <font>
      <b/>
      <sz val="11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DDE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Border="1" applyAlignment="1" applyProtection="1"/>
    <xf numFmtId="0" fontId="1" fillId="0" borderId="0" xfId="0" applyFont="1" applyProtection="1"/>
    <xf numFmtId="0" fontId="1" fillId="0" borderId="0" xfId="0" applyFont="1" applyBorder="1" applyAlignment="1" applyProtection="1"/>
    <xf numFmtId="0" fontId="1" fillId="0" borderId="0" xfId="0" applyFont="1" applyBorder="1" applyProtection="1"/>
    <xf numFmtId="15" fontId="1" fillId="0" borderId="0" xfId="0" applyNumberFormat="1" applyFont="1" applyBorder="1" applyAlignment="1" applyProtection="1"/>
    <xf numFmtId="0" fontId="1" fillId="0" borderId="6" xfId="0" applyFont="1" applyBorder="1" applyProtection="1"/>
    <xf numFmtId="0" fontId="1" fillId="0" borderId="5" xfId="0" applyFont="1" applyBorder="1" applyProtection="1"/>
    <xf numFmtId="0" fontId="1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/>
    <xf numFmtId="164" fontId="1" fillId="0" borderId="8" xfId="0" applyNumberFormat="1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164" fontId="1" fillId="0" borderId="6" xfId="0" applyNumberFormat="1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right"/>
    </xf>
    <xf numFmtId="0" fontId="2" fillId="0" borderId="9" xfId="0" applyFont="1" applyBorder="1" applyAlignment="1" applyProtection="1">
      <alignment horizontal="right"/>
    </xf>
    <xf numFmtId="164" fontId="1" fillId="0" borderId="10" xfId="0" applyNumberFormat="1" applyFont="1" applyBorder="1" applyAlignment="1" applyProtection="1">
      <alignment horizontal="center"/>
    </xf>
    <xf numFmtId="2" fontId="1" fillId="2" borderId="7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Protection="1"/>
    <xf numFmtId="0" fontId="5" fillId="0" borderId="1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7" xfId="0" applyFont="1" applyFill="1" applyBorder="1" applyAlignment="1" applyProtection="1">
      <alignment vertical="center"/>
    </xf>
    <xf numFmtId="0" fontId="5" fillId="0" borderId="7" xfId="0" applyFont="1" applyFill="1" applyBorder="1" applyAlignment="1" applyProtection="1">
      <alignment horizontal="left" vertical="center"/>
    </xf>
    <xf numFmtId="0" fontId="5" fillId="0" borderId="7" xfId="0" applyFont="1" applyFill="1" applyBorder="1" applyAlignment="1" applyProtection="1">
      <alignment horizontal="center" vertical="center"/>
    </xf>
    <xf numFmtId="0" fontId="5" fillId="0" borderId="8" xfId="0" applyFont="1" applyFill="1" applyBorder="1" applyAlignment="1" applyProtection="1">
      <alignment horizontal="center" vertical="center"/>
    </xf>
    <xf numFmtId="164" fontId="1" fillId="2" borderId="7" xfId="0" applyNumberFormat="1" applyFont="1" applyFill="1" applyBorder="1" applyAlignment="1" applyProtection="1">
      <alignment horizontal="left" vertical="center"/>
      <protection locked="0"/>
    </xf>
    <xf numFmtId="2" fontId="1" fillId="0" borderId="1" xfId="0" applyNumberFormat="1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8" xfId="0" applyFont="1" applyFill="1" applyBorder="1" applyAlignment="1" applyProtection="1">
      <alignment horizontal="left"/>
      <protection locked="0"/>
    </xf>
    <xf numFmtId="0" fontId="4" fillId="0" borderId="2" xfId="0" applyFont="1" applyFill="1" applyBorder="1" applyAlignment="1" applyProtection="1">
      <alignment horizontal="center"/>
    </xf>
    <xf numFmtId="0" fontId="4" fillId="0" borderId="3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2" fontId="1" fillId="0" borderId="7" xfId="0" applyNumberFormat="1" applyFont="1" applyBorder="1" applyAlignment="1" applyProtection="1">
      <alignment horizontal="center"/>
    </xf>
    <xf numFmtId="2" fontId="1" fillId="0" borderId="1" xfId="0" applyNumberFormat="1" applyFont="1" applyBorder="1" applyAlignment="1" applyProtection="1">
      <alignment horizontal="center"/>
    </xf>
    <xf numFmtId="2" fontId="1" fillId="0" borderId="8" xfId="0" applyNumberFormat="1" applyFont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left"/>
      <protection locked="0"/>
    </xf>
    <xf numFmtId="0" fontId="1" fillId="2" borderId="13" xfId="0" applyFont="1" applyFill="1" applyBorder="1" applyAlignment="1" applyProtection="1">
      <alignment horizontal="left"/>
      <protection locked="0"/>
    </xf>
    <xf numFmtId="0" fontId="1" fillId="2" borderId="16" xfId="0" applyFont="1" applyFill="1" applyBorder="1" applyAlignment="1" applyProtection="1">
      <alignment horizontal="left"/>
      <protection locked="0"/>
    </xf>
    <xf numFmtId="15" fontId="1" fillId="2" borderId="1" xfId="0" applyNumberFormat="1" applyFont="1" applyFill="1" applyBorder="1" applyAlignment="1" applyProtection="1">
      <alignment horizontal="left"/>
      <protection locked="0"/>
    </xf>
    <xf numFmtId="15" fontId="1" fillId="2" borderId="8" xfId="0" applyNumberFormat="1" applyFont="1" applyFill="1" applyBorder="1" applyAlignment="1" applyProtection="1">
      <alignment horizontal="left"/>
      <protection locked="0"/>
    </xf>
    <xf numFmtId="15" fontId="1" fillId="2" borderId="1" xfId="0" quotePrefix="1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8" xfId="0" applyFont="1" applyFill="1" applyBorder="1" applyAlignment="1" applyProtection="1">
      <alignment horizontal="left" vertical="top"/>
      <protection locked="0"/>
    </xf>
    <xf numFmtId="0" fontId="2" fillId="0" borderId="7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0" fontId="5" fillId="0" borderId="15" xfId="0" applyFont="1" applyFill="1" applyBorder="1" applyAlignment="1" applyProtection="1">
      <alignment horizontal="center" vertical="center"/>
    </xf>
    <xf numFmtId="0" fontId="5" fillId="0" borderId="13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74"/>
  <sheetViews>
    <sheetView tabSelected="1" view="pageBreakPreview" zoomScale="85" zoomScaleNormal="85" zoomScaleSheetLayoutView="85" workbookViewId="0">
      <selection activeCell="C62" sqref="C62"/>
    </sheetView>
  </sheetViews>
  <sheetFormatPr defaultColWidth="9.109375" defaultRowHeight="13.8" x14ac:dyDescent="0.25"/>
  <cols>
    <col min="1" max="1" width="4" style="2" customWidth="1"/>
    <col min="2" max="2" width="44.5546875" style="2" customWidth="1"/>
    <col min="3" max="3" width="17.109375" style="2" customWidth="1"/>
    <col min="4" max="4" width="14" style="2" customWidth="1"/>
    <col min="5" max="6" width="13.44140625" style="2" customWidth="1"/>
    <col min="7" max="7" width="17.77734375" style="2" customWidth="1"/>
    <col min="8" max="8" width="3.21875" style="2" customWidth="1"/>
    <col min="9" max="16384" width="9.109375" style="2"/>
  </cols>
  <sheetData>
    <row r="1" spans="2:12" ht="14.4" thickBot="1" x14ac:dyDescent="0.3"/>
    <row r="2" spans="2:12" ht="20.25" customHeight="1" x14ac:dyDescent="0.4">
      <c r="B2" s="37" t="s">
        <v>21</v>
      </c>
      <c r="C2" s="38"/>
      <c r="D2" s="38"/>
      <c r="E2" s="38"/>
      <c r="F2" s="38"/>
      <c r="G2" s="39"/>
    </row>
    <row r="3" spans="2:12" x14ac:dyDescent="0.25">
      <c r="B3" s="40" t="s">
        <v>37</v>
      </c>
      <c r="C3" s="41"/>
      <c r="D3" s="41"/>
      <c r="E3" s="41"/>
      <c r="F3" s="41"/>
      <c r="G3" s="42"/>
    </row>
    <row r="4" spans="2:12" x14ac:dyDescent="0.25">
      <c r="B4" s="40" t="s">
        <v>5</v>
      </c>
      <c r="C4" s="41"/>
      <c r="D4" s="41"/>
      <c r="E4" s="41"/>
      <c r="F4" s="41"/>
      <c r="G4" s="42"/>
    </row>
    <row r="5" spans="2:12" ht="15.6" x14ac:dyDescent="0.3">
      <c r="B5" s="43" t="s">
        <v>11</v>
      </c>
      <c r="C5" s="44"/>
      <c r="D5" s="44"/>
      <c r="E5" s="44"/>
      <c r="F5" s="44"/>
      <c r="G5" s="45"/>
      <c r="H5" s="1"/>
      <c r="I5" s="1"/>
      <c r="J5" s="1"/>
      <c r="K5" s="1"/>
      <c r="L5" s="1"/>
    </row>
    <row r="6" spans="2:12" x14ac:dyDescent="0.25">
      <c r="B6" s="46"/>
      <c r="C6" s="47"/>
      <c r="D6" s="47"/>
      <c r="E6" s="47"/>
      <c r="F6" s="48"/>
      <c r="G6" s="49"/>
    </row>
    <row r="7" spans="2:12" x14ac:dyDescent="0.25">
      <c r="B7" s="26" t="s">
        <v>25</v>
      </c>
      <c r="C7" s="35" t="s">
        <v>32</v>
      </c>
      <c r="D7" s="35"/>
      <c r="E7" s="35"/>
      <c r="F7" s="35"/>
      <c r="G7" s="36"/>
      <c r="H7" s="4"/>
      <c r="I7" s="3"/>
      <c r="J7" s="4"/>
    </row>
    <row r="8" spans="2:12" x14ac:dyDescent="0.25">
      <c r="B8" s="26" t="s">
        <v>26</v>
      </c>
      <c r="C8" s="35" t="str">
        <f>C7</f>
        <v>Bictegravir,Emtricitabine and Tenofovir Alafenamide Tablets 50mg/200mg/25mg</v>
      </c>
      <c r="D8" s="35"/>
      <c r="E8" s="35"/>
      <c r="F8" s="35"/>
      <c r="G8" s="36"/>
      <c r="H8" s="4"/>
      <c r="I8" s="5"/>
      <c r="J8" s="4"/>
    </row>
    <row r="9" spans="2:12" x14ac:dyDescent="0.25">
      <c r="B9" s="26" t="s">
        <v>30</v>
      </c>
      <c r="C9" s="35" t="s">
        <v>33</v>
      </c>
      <c r="D9" s="35"/>
      <c r="E9" s="35"/>
      <c r="F9" s="35"/>
      <c r="G9" s="36"/>
      <c r="H9" s="4"/>
      <c r="I9" s="4"/>
      <c r="J9" s="4"/>
    </row>
    <row r="10" spans="2:12" x14ac:dyDescent="0.25">
      <c r="B10" s="26" t="s">
        <v>23</v>
      </c>
      <c r="C10" s="35"/>
      <c r="D10" s="35"/>
      <c r="E10" s="35"/>
      <c r="F10" s="35"/>
      <c r="G10" s="36"/>
      <c r="H10" s="4"/>
      <c r="I10" s="4"/>
      <c r="J10" s="4"/>
    </row>
    <row r="11" spans="2:12" x14ac:dyDescent="0.25">
      <c r="B11" s="26" t="s">
        <v>6</v>
      </c>
      <c r="C11" s="35" t="s">
        <v>34</v>
      </c>
      <c r="D11" s="35"/>
      <c r="E11" s="35"/>
      <c r="F11" s="35"/>
      <c r="G11" s="36"/>
      <c r="H11" s="4"/>
      <c r="I11" s="4"/>
      <c r="J11" s="4"/>
    </row>
    <row r="12" spans="2:12" x14ac:dyDescent="0.25">
      <c r="B12" s="26" t="s">
        <v>24</v>
      </c>
      <c r="C12" s="53"/>
      <c r="D12" s="54"/>
      <c r="E12" s="54"/>
      <c r="F12" s="54"/>
      <c r="G12" s="55"/>
      <c r="H12" s="4"/>
      <c r="I12" s="4"/>
      <c r="J12" s="4"/>
    </row>
    <row r="13" spans="2:12" x14ac:dyDescent="0.25">
      <c r="B13" s="27" t="s">
        <v>27</v>
      </c>
      <c r="C13" s="35"/>
      <c r="D13" s="35"/>
      <c r="E13" s="35"/>
      <c r="F13" s="35"/>
      <c r="G13" s="36"/>
    </row>
    <row r="14" spans="2:12" x14ac:dyDescent="0.25">
      <c r="B14" s="26" t="s">
        <v>28</v>
      </c>
      <c r="C14" s="56" t="s">
        <v>35</v>
      </c>
      <c r="D14" s="56"/>
      <c r="E14" s="56"/>
      <c r="F14" s="56"/>
      <c r="G14" s="57"/>
    </row>
    <row r="15" spans="2:12" x14ac:dyDescent="0.25">
      <c r="B15" s="26" t="s">
        <v>12</v>
      </c>
      <c r="C15" s="58">
        <v>45685</v>
      </c>
      <c r="D15" s="56"/>
      <c r="E15" s="56"/>
      <c r="F15" s="56"/>
      <c r="G15" s="57"/>
    </row>
    <row r="16" spans="2:12" x14ac:dyDescent="0.25">
      <c r="B16" s="26" t="s">
        <v>16</v>
      </c>
      <c r="C16" s="35" t="s">
        <v>36</v>
      </c>
      <c r="D16" s="35"/>
      <c r="E16" s="35"/>
      <c r="F16" s="35"/>
      <c r="G16" s="36"/>
    </row>
    <row r="17" spans="2:12" x14ac:dyDescent="0.25">
      <c r="B17" s="26" t="s">
        <v>29</v>
      </c>
      <c r="C17" s="59" t="s">
        <v>31</v>
      </c>
      <c r="D17" s="59"/>
      <c r="E17" s="59"/>
      <c r="F17" s="59"/>
      <c r="G17" s="60"/>
    </row>
    <row r="18" spans="2:12" x14ac:dyDescent="0.25">
      <c r="B18" s="61"/>
      <c r="C18" s="62"/>
      <c r="D18" s="62"/>
      <c r="E18" s="62"/>
      <c r="F18" s="62"/>
      <c r="G18" s="63"/>
    </row>
    <row r="19" spans="2:12" x14ac:dyDescent="0.25">
      <c r="B19" s="28" t="s">
        <v>7</v>
      </c>
      <c r="C19" s="25" t="s">
        <v>8</v>
      </c>
      <c r="D19" s="25" t="s">
        <v>20</v>
      </c>
      <c r="E19" s="25" t="s">
        <v>20</v>
      </c>
      <c r="F19" s="25" t="s">
        <v>20</v>
      </c>
      <c r="G19" s="23"/>
    </row>
    <row r="20" spans="2:12" x14ac:dyDescent="0.25">
      <c r="B20" s="17"/>
      <c r="C20" s="18">
        <v>6.38</v>
      </c>
      <c r="D20" s="18">
        <v>25</v>
      </c>
      <c r="E20" s="18">
        <v>1</v>
      </c>
      <c r="F20" s="18">
        <v>1</v>
      </c>
      <c r="G20" s="23"/>
    </row>
    <row r="21" spans="2:12" x14ac:dyDescent="0.25">
      <c r="B21" s="50"/>
      <c r="C21" s="51"/>
      <c r="D21" s="51"/>
      <c r="E21" s="51"/>
      <c r="F21" s="51"/>
      <c r="G21" s="52"/>
    </row>
    <row r="22" spans="2:12" x14ac:dyDescent="0.25">
      <c r="B22" s="27" t="s">
        <v>13</v>
      </c>
      <c r="C22" s="18">
        <v>16284559</v>
      </c>
      <c r="D22" s="4"/>
      <c r="E22" s="4"/>
      <c r="F22" s="4"/>
      <c r="G22" s="6"/>
    </row>
    <row r="23" spans="2:12" x14ac:dyDescent="0.25">
      <c r="B23" s="7"/>
      <c r="C23" s="8"/>
      <c r="D23" s="4"/>
      <c r="E23" s="4"/>
      <c r="F23" s="4"/>
      <c r="G23" s="6"/>
    </row>
    <row r="24" spans="2:12" x14ac:dyDescent="0.25">
      <c r="B24" s="27" t="s">
        <v>14</v>
      </c>
      <c r="C24" s="21">
        <f>SUM(D29:D68,C22)</f>
        <v>16291210</v>
      </c>
      <c r="D24" s="4"/>
      <c r="E24" s="4"/>
      <c r="F24" s="4"/>
      <c r="G24" s="6"/>
    </row>
    <row r="25" spans="2:12" x14ac:dyDescent="0.25">
      <c r="B25" s="7"/>
      <c r="C25" s="8"/>
      <c r="D25" s="4"/>
      <c r="E25" s="4"/>
      <c r="F25" s="4"/>
      <c r="G25" s="6"/>
    </row>
    <row r="26" spans="2:12" x14ac:dyDescent="0.25">
      <c r="B26" s="27" t="s">
        <v>15</v>
      </c>
      <c r="C26" s="18">
        <v>30.457999999999998</v>
      </c>
      <c r="D26" s="4"/>
      <c r="E26" s="4"/>
      <c r="F26" s="4"/>
      <c r="G26" s="6"/>
    </row>
    <row r="27" spans="2:12" x14ac:dyDescent="0.25">
      <c r="B27" s="7"/>
      <c r="C27" s="4"/>
      <c r="D27" s="4"/>
      <c r="E27" s="4"/>
      <c r="F27" s="4"/>
      <c r="G27" s="6"/>
      <c r="H27" s="4"/>
      <c r="I27" s="4"/>
      <c r="J27" s="4"/>
      <c r="K27" s="4"/>
      <c r="L27" s="4"/>
    </row>
    <row r="28" spans="2:12" x14ac:dyDescent="0.25">
      <c r="B28" s="28" t="s">
        <v>18</v>
      </c>
      <c r="C28" s="25" t="s">
        <v>1</v>
      </c>
      <c r="D28" s="25" t="s">
        <v>10</v>
      </c>
      <c r="E28" s="25" t="s">
        <v>4</v>
      </c>
      <c r="F28" s="25" t="s">
        <v>22</v>
      </c>
      <c r="G28" s="29" t="s">
        <v>19</v>
      </c>
      <c r="H28" s="9"/>
      <c r="I28" s="9"/>
      <c r="J28" s="8"/>
      <c r="K28" s="8"/>
      <c r="L28" s="4"/>
    </row>
    <row r="29" spans="2:12" x14ac:dyDescent="0.25">
      <c r="B29" s="30" t="s">
        <v>9</v>
      </c>
      <c r="C29" s="20">
        <v>16.538</v>
      </c>
      <c r="D29" s="19">
        <v>1119</v>
      </c>
      <c r="E29" s="31">
        <f>C29/$C$26</f>
        <v>0.54297721452491965</v>
      </c>
      <c r="F29" s="22">
        <v>1</v>
      </c>
      <c r="G29" s="10">
        <f>D29/$C$24/F29*100</f>
        <v>6.8687347348662256E-3</v>
      </c>
      <c r="H29" s="9"/>
      <c r="I29" s="9"/>
      <c r="J29" s="8"/>
      <c r="K29" s="8"/>
      <c r="L29" s="4"/>
    </row>
    <row r="30" spans="2:12" x14ac:dyDescent="0.25">
      <c r="B30" s="30" t="s">
        <v>9</v>
      </c>
      <c r="C30" s="20">
        <v>18.315000000000001</v>
      </c>
      <c r="D30" s="19">
        <v>1236</v>
      </c>
      <c r="E30" s="31">
        <f>C30/$C$26</f>
        <v>0.60131985028563928</v>
      </c>
      <c r="F30" s="22">
        <v>1</v>
      </c>
      <c r="G30" s="10">
        <f t="shared" ref="G30:G68" si="0">D30/$C$24/F30*100</f>
        <v>7.5869134336860183E-3</v>
      </c>
      <c r="H30" s="9"/>
      <c r="I30" s="9"/>
      <c r="J30" s="8"/>
      <c r="K30" s="8"/>
      <c r="L30" s="4"/>
    </row>
    <row r="31" spans="2:12" x14ac:dyDescent="0.25">
      <c r="B31" s="30" t="s">
        <v>9</v>
      </c>
      <c r="C31" s="20">
        <v>27.268000000000001</v>
      </c>
      <c r="D31" s="19">
        <v>2452</v>
      </c>
      <c r="E31" s="31">
        <f>C31/$C$26</f>
        <v>0.89526561166196084</v>
      </c>
      <c r="F31" s="22">
        <v>1</v>
      </c>
      <c r="G31" s="10">
        <f t="shared" si="0"/>
        <v>1.5051061277830192E-2</v>
      </c>
      <c r="H31" s="9"/>
      <c r="I31" s="9"/>
      <c r="J31" s="8"/>
      <c r="K31" s="8"/>
      <c r="L31" s="4"/>
    </row>
    <row r="32" spans="2:12" x14ac:dyDescent="0.25">
      <c r="B32" s="30" t="s">
        <v>9</v>
      </c>
      <c r="C32" s="20">
        <v>55.933999999999997</v>
      </c>
      <c r="D32" s="19">
        <v>1844</v>
      </c>
      <c r="E32" s="31">
        <f t="shared" ref="E32:E59" si="1">C32/$C$26</f>
        <v>1.8364304944513756</v>
      </c>
      <c r="F32" s="22">
        <v>1</v>
      </c>
      <c r="G32" s="10">
        <f t="shared" si="0"/>
        <v>1.1318987355758104E-2</v>
      </c>
      <c r="H32" s="32"/>
      <c r="I32" s="32"/>
      <c r="J32" s="8"/>
      <c r="K32" s="8"/>
      <c r="L32" s="4"/>
    </row>
    <row r="33" spans="2:12" x14ac:dyDescent="0.25">
      <c r="B33" s="30" t="s">
        <v>9</v>
      </c>
      <c r="C33" s="20"/>
      <c r="D33" s="19"/>
      <c r="E33" s="31">
        <f t="shared" si="1"/>
        <v>0</v>
      </c>
      <c r="F33" s="22">
        <v>1</v>
      </c>
      <c r="G33" s="10">
        <f t="shared" si="0"/>
        <v>0</v>
      </c>
      <c r="H33" s="32"/>
      <c r="I33" s="32"/>
      <c r="J33" s="8"/>
      <c r="K33" s="8"/>
      <c r="L33" s="4"/>
    </row>
    <row r="34" spans="2:12" x14ac:dyDescent="0.25">
      <c r="B34" s="30"/>
      <c r="C34" s="20"/>
      <c r="D34" s="19"/>
      <c r="E34" s="31">
        <f t="shared" si="1"/>
        <v>0</v>
      </c>
      <c r="F34" s="22">
        <v>1</v>
      </c>
      <c r="G34" s="10">
        <f t="shared" si="0"/>
        <v>0</v>
      </c>
      <c r="H34" s="32"/>
      <c r="I34" s="32"/>
      <c r="J34" s="8"/>
      <c r="K34" s="8"/>
      <c r="L34" s="4"/>
    </row>
    <row r="35" spans="2:12" x14ac:dyDescent="0.25">
      <c r="B35" s="30"/>
      <c r="C35" s="20"/>
      <c r="D35" s="19"/>
      <c r="E35" s="31">
        <f t="shared" si="1"/>
        <v>0</v>
      </c>
      <c r="F35" s="22">
        <v>1</v>
      </c>
      <c r="G35" s="10">
        <f t="shared" si="0"/>
        <v>0</v>
      </c>
      <c r="H35" s="32"/>
      <c r="I35" s="32"/>
      <c r="J35" s="8"/>
      <c r="K35" s="8"/>
      <c r="L35" s="4"/>
    </row>
    <row r="36" spans="2:12" x14ac:dyDescent="0.25">
      <c r="B36" s="30"/>
      <c r="C36" s="20"/>
      <c r="D36" s="19"/>
      <c r="E36" s="31">
        <f t="shared" si="1"/>
        <v>0</v>
      </c>
      <c r="F36" s="22">
        <v>1</v>
      </c>
      <c r="G36" s="10">
        <f t="shared" si="0"/>
        <v>0</v>
      </c>
      <c r="H36" s="32"/>
      <c r="I36" s="32"/>
      <c r="J36" s="8"/>
      <c r="K36" s="8"/>
      <c r="L36" s="4"/>
    </row>
    <row r="37" spans="2:12" x14ac:dyDescent="0.25">
      <c r="B37" s="30"/>
      <c r="C37" s="20"/>
      <c r="D37" s="19"/>
      <c r="E37" s="31">
        <f t="shared" si="1"/>
        <v>0</v>
      </c>
      <c r="F37" s="22">
        <v>1</v>
      </c>
      <c r="G37" s="10">
        <f t="shared" si="0"/>
        <v>0</v>
      </c>
      <c r="H37" s="32"/>
      <c r="I37" s="32"/>
      <c r="J37" s="8"/>
      <c r="K37" s="8"/>
      <c r="L37" s="4"/>
    </row>
    <row r="38" spans="2:12" x14ac:dyDescent="0.25">
      <c r="B38" s="30"/>
      <c r="C38" s="20"/>
      <c r="D38" s="19"/>
      <c r="E38" s="31">
        <f t="shared" si="1"/>
        <v>0</v>
      </c>
      <c r="F38" s="22">
        <v>1</v>
      </c>
      <c r="G38" s="10">
        <f t="shared" si="0"/>
        <v>0</v>
      </c>
      <c r="H38" s="32"/>
      <c r="I38" s="32"/>
      <c r="J38" s="8"/>
      <c r="K38" s="8"/>
      <c r="L38" s="4"/>
    </row>
    <row r="39" spans="2:12" x14ac:dyDescent="0.25">
      <c r="B39" s="30"/>
      <c r="C39" s="20"/>
      <c r="D39" s="19"/>
      <c r="E39" s="31">
        <f t="shared" si="1"/>
        <v>0</v>
      </c>
      <c r="F39" s="22">
        <v>1</v>
      </c>
      <c r="G39" s="10">
        <f t="shared" si="0"/>
        <v>0</v>
      </c>
      <c r="H39" s="32"/>
      <c r="I39" s="32"/>
      <c r="J39" s="8"/>
      <c r="K39" s="8"/>
      <c r="L39" s="4"/>
    </row>
    <row r="40" spans="2:12" x14ac:dyDescent="0.25">
      <c r="B40" s="30"/>
      <c r="C40" s="20"/>
      <c r="D40" s="19"/>
      <c r="E40" s="31">
        <f t="shared" si="1"/>
        <v>0</v>
      </c>
      <c r="F40" s="22">
        <v>1</v>
      </c>
      <c r="G40" s="10">
        <f t="shared" si="0"/>
        <v>0</v>
      </c>
      <c r="H40" s="32"/>
      <c r="I40" s="32"/>
      <c r="J40" s="8"/>
      <c r="K40" s="8"/>
      <c r="L40" s="4"/>
    </row>
    <row r="41" spans="2:12" x14ac:dyDescent="0.25">
      <c r="B41" s="30"/>
      <c r="C41" s="20"/>
      <c r="D41" s="19"/>
      <c r="E41" s="31">
        <f t="shared" si="1"/>
        <v>0</v>
      </c>
      <c r="F41" s="22">
        <v>1</v>
      </c>
      <c r="G41" s="10">
        <f t="shared" si="0"/>
        <v>0</v>
      </c>
      <c r="H41" s="32"/>
      <c r="I41" s="32"/>
      <c r="J41" s="8"/>
      <c r="K41" s="8"/>
      <c r="L41" s="4"/>
    </row>
    <row r="42" spans="2:12" x14ac:dyDescent="0.25">
      <c r="B42" s="30"/>
      <c r="C42" s="20"/>
      <c r="D42" s="19"/>
      <c r="E42" s="34">
        <f t="shared" ref="E42:E48" si="2">C42/$C$26</f>
        <v>0</v>
      </c>
      <c r="F42" s="22">
        <v>1</v>
      </c>
      <c r="G42" s="10">
        <f t="shared" ref="G42:G48" si="3">D42/$C$24/F42*100</f>
        <v>0</v>
      </c>
      <c r="H42" s="33"/>
      <c r="I42" s="33"/>
      <c r="J42" s="8"/>
      <c r="K42" s="8"/>
      <c r="L42" s="4"/>
    </row>
    <row r="43" spans="2:12" x14ac:dyDescent="0.25">
      <c r="B43" s="30"/>
      <c r="C43" s="20"/>
      <c r="D43" s="19"/>
      <c r="E43" s="34">
        <f t="shared" si="2"/>
        <v>0</v>
      </c>
      <c r="F43" s="22">
        <v>1</v>
      </c>
      <c r="G43" s="10">
        <f t="shared" si="3"/>
        <v>0</v>
      </c>
      <c r="H43" s="33"/>
      <c r="I43" s="33"/>
      <c r="J43" s="8"/>
      <c r="K43" s="8"/>
      <c r="L43" s="4"/>
    </row>
    <row r="44" spans="2:12" x14ac:dyDescent="0.25">
      <c r="B44" s="30"/>
      <c r="C44" s="20"/>
      <c r="D44" s="19"/>
      <c r="E44" s="34">
        <f t="shared" si="2"/>
        <v>0</v>
      </c>
      <c r="F44" s="22">
        <v>1</v>
      </c>
      <c r="G44" s="10">
        <f t="shared" si="3"/>
        <v>0</v>
      </c>
      <c r="H44" s="33"/>
      <c r="I44" s="33"/>
      <c r="J44" s="8"/>
      <c r="K44" s="8"/>
      <c r="L44" s="4"/>
    </row>
    <row r="45" spans="2:12" x14ac:dyDescent="0.25">
      <c r="B45" s="30"/>
      <c r="C45" s="20"/>
      <c r="D45" s="19"/>
      <c r="E45" s="34">
        <f t="shared" si="2"/>
        <v>0</v>
      </c>
      <c r="F45" s="22">
        <v>1</v>
      </c>
      <c r="G45" s="10">
        <f t="shared" si="3"/>
        <v>0</v>
      </c>
      <c r="H45" s="33"/>
      <c r="I45" s="33"/>
      <c r="J45" s="8"/>
      <c r="K45" s="8"/>
      <c r="L45" s="4"/>
    </row>
    <row r="46" spans="2:12" x14ac:dyDescent="0.25">
      <c r="B46" s="30"/>
      <c r="C46" s="20"/>
      <c r="D46" s="19"/>
      <c r="E46" s="34">
        <f t="shared" si="2"/>
        <v>0</v>
      </c>
      <c r="F46" s="22">
        <v>1</v>
      </c>
      <c r="G46" s="10">
        <f t="shared" si="3"/>
        <v>0</v>
      </c>
      <c r="H46" s="33"/>
      <c r="I46" s="33"/>
      <c r="J46" s="8"/>
      <c r="K46" s="8"/>
      <c r="L46" s="4"/>
    </row>
    <row r="47" spans="2:12" x14ac:dyDescent="0.25">
      <c r="B47" s="30"/>
      <c r="C47" s="20"/>
      <c r="D47" s="19"/>
      <c r="E47" s="34">
        <f t="shared" si="2"/>
        <v>0</v>
      </c>
      <c r="F47" s="22">
        <v>1</v>
      </c>
      <c r="G47" s="10">
        <f t="shared" si="3"/>
        <v>0</v>
      </c>
      <c r="H47" s="33"/>
      <c r="I47" s="33"/>
      <c r="J47" s="8"/>
      <c r="K47" s="8"/>
      <c r="L47" s="4"/>
    </row>
    <row r="48" spans="2:12" x14ac:dyDescent="0.25">
      <c r="B48" s="30"/>
      <c r="C48" s="20"/>
      <c r="D48" s="19"/>
      <c r="E48" s="34">
        <f t="shared" si="2"/>
        <v>0</v>
      </c>
      <c r="F48" s="22">
        <v>1</v>
      </c>
      <c r="G48" s="10">
        <f t="shared" si="3"/>
        <v>0</v>
      </c>
      <c r="H48" s="33"/>
      <c r="I48" s="33"/>
      <c r="J48" s="8"/>
      <c r="K48" s="8"/>
      <c r="L48" s="4"/>
    </row>
    <row r="49" spans="2:12" x14ac:dyDescent="0.25">
      <c r="B49" s="30"/>
      <c r="C49" s="20"/>
      <c r="D49" s="19"/>
      <c r="E49" s="31">
        <f t="shared" si="1"/>
        <v>0</v>
      </c>
      <c r="F49" s="22">
        <v>1</v>
      </c>
      <c r="G49" s="10">
        <f t="shared" si="0"/>
        <v>0</v>
      </c>
      <c r="H49" s="32"/>
      <c r="I49" s="32"/>
      <c r="J49" s="8"/>
      <c r="K49" s="8"/>
      <c r="L49" s="4"/>
    </row>
    <row r="50" spans="2:12" x14ac:dyDescent="0.25">
      <c r="B50" s="30"/>
      <c r="C50" s="20"/>
      <c r="D50" s="19"/>
      <c r="E50" s="31">
        <f t="shared" si="1"/>
        <v>0</v>
      </c>
      <c r="F50" s="22">
        <v>1</v>
      </c>
      <c r="G50" s="10">
        <f t="shared" si="0"/>
        <v>0</v>
      </c>
      <c r="H50" s="32"/>
      <c r="I50" s="32"/>
      <c r="J50" s="8"/>
      <c r="K50" s="8"/>
      <c r="L50" s="4"/>
    </row>
    <row r="51" spans="2:12" x14ac:dyDescent="0.25">
      <c r="B51" s="30"/>
      <c r="C51" s="20"/>
      <c r="D51" s="19"/>
      <c r="E51" s="34">
        <f t="shared" ref="E51:E54" si="4">C51/$C$26</f>
        <v>0</v>
      </c>
      <c r="F51" s="22">
        <v>1</v>
      </c>
      <c r="G51" s="10">
        <f t="shared" ref="G51:G54" si="5">D51/$C$24/F51*100</f>
        <v>0</v>
      </c>
      <c r="H51" s="33"/>
      <c r="I51" s="33"/>
      <c r="J51" s="8"/>
      <c r="K51" s="8"/>
      <c r="L51" s="4"/>
    </row>
    <row r="52" spans="2:12" x14ac:dyDescent="0.25">
      <c r="B52" s="30"/>
      <c r="C52" s="20"/>
      <c r="D52" s="19"/>
      <c r="E52" s="34">
        <f t="shared" si="4"/>
        <v>0</v>
      </c>
      <c r="F52" s="22">
        <v>1</v>
      </c>
      <c r="G52" s="10">
        <f t="shared" si="5"/>
        <v>0</v>
      </c>
      <c r="H52" s="33"/>
      <c r="I52" s="33"/>
      <c r="J52" s="8"/>
      <c r="K52" s="8"/>
      <c r="L52" s="4"/>
    </row>
    <row r="53" spans="2:12" x14ac:dyDescent="0.25">
      <c r="B53" s="30"/>
      <c r="C53" s="20"/>
      <c r="D53" s="19"/>
      <c r="E53" s="34">
        <f t="shared" si="4"/>
        <v>0</v>
      </c>
      <c r="F53" s="22">
        <v>1</v>
      </c>
      <c r="G53" s="10">
        <f t="shared" si="5"/>
        <v>0</v>
      </c>
      <c r="H53" s="33"/>
      <c r="I53" s="33"/>
      <c r="J53" s="8"/>
      <c r="K53" s="8"/>
      <c r="L53" s="4"/>
    </row>
    <row r="54" spans="2:12" x14ac:dyDescent="0.25">
      <c r="B54" s="30"/>
      <c r="C54" s="20"/>
      <c r="D54" s="19"/>
      <c r="E54" s="34">
        <f t="shared" si="4"/>
        <v>0</v>
      </c>
      <c r="F54" s="22">
        <v>1</v>
      </c>
      <c r="G54" s="10">
        <f t="shared" si="5"/>
        <v>0</v>
      </c>
      <c r="H54" s="33"/>
      <c r="I54" s="33"/>
      <c r="J54" s="8"/>
      <c r="K54" s="8"/>
      <c r="L54" s="4"/>
    </row>
    <row r="55" spans="2:12" x14ac:dyDescent="0.25">
      <c r="B55" s="30"/>
      <c r="C55" s="20"/>
      <c r="D55" s="19"/>
      <c r="E55" s="31">
        <f t="shared" si="1"/>
        <v>0</v>
      </c>
      <c r="F55" s="22">
        <v>1</v>
      </c>
      <c r="G55" s="10">
        <f t="shared" si="0"/>
        <v>0</v>
      </c>
      <c r="H55" s="32"/>
      <c r="I55" s="32"/>
      <c r="J55" s="8"/>
      <c r="K55" s="8"/>
      <c r="L55" s="4"/>
    </row>
    <row r="56" spans="2:12" x14ac:dyDescent="0.25">
      <c r="B56" s="30"/>
      <c r="C56" s="20"/>
      <c r="D56" s="19"/>
      <c r="E56" s="31">
        <f t="shared" si="1"/>
        <v>0</v>
      </c>
      <c r="F56" s="22">
        <v>1</v>
      </c>
      <c r="G56" s="10">
        <f t="shared" si="0"/>
        <v>0</v>
      </c>
      <c r="H56" s="32"/>
      <c r="I56" s="32"/>
      <c r="J56" s="8"/>
      <c r="K56" s="8"/>
      <c r="L56" s="4"/>
    </row>
    <row r="57" spans="2:12" x14ac:dyDescent="0.25">
      <c r="B57" s="30"/>
      <c r="C57" s="20"/>
      <c r="D57" s="19"/>
      <c r="E57" s="31">
        <f t="shared" si="1"/>
        <v>0</v>
      </c>
      <c r="F57" s="22">
        <v>1</v>
      </c>
      <c r="G57" s="10">
        <f t="shared" si="0"/>
        <v>0</v>
      </c>
      <c r="H57" s="32"/>
      <c r="I57" s="32"/>
      <c r="J57" s="8"/>
      <c r="K57" s="8"/>
      <c r="L57" s="4"/>
    </row>
    <row r="58" spans="2:12" x14ac:dyDescent="0.25">
      <c r="B58" s="30"/>
      <c r="C58" s="20"/>
      <c r="D58" s="19"/>
      <c r="E58" s="31">
        <f t="shared" si="1"/>
        <v>0</v>
      </c>
      <c r="F58" s="22">
        <v>1</v>
      </c>
      <c r="G58" s="10">
        <f t="shared" si="0"/>
        <v>0</v>
      </c>
      <c r="H58" s="32"/>
      <c r="I58" s="32"/>
      <c r="J58" s="8"/>
      <c r="K58" s="8"/>
      <c r="L58" s="4"/>
    </row>
    <row r="59" spans="2:12" x14ac:dyDescent="0.25">
      <c r="B59" s="30"/>
      <c r="C59" s="20"/>
      <c r="D59" s="19"/>
      <c r="E59" s="31">
        <f t="shared" si="1"/>
        <v>0</v>
      </c>
      <c r="F59" s="22">
        <v>1</v>
      </c>
      <c r="G59" s="10">
        <f t="shared" si="0"/>
        <v>0</v>
      </c>
      <c r="H59" s="32"/>
      <c r="I59" s="32"/>
      <c r="J59" s="8"/>
      <c r="K59" s="8"/>
      <c r="L59" s="4"/>
    </row>
    <row r="60" spans="2:12" x14ac:dyDescent="0.25">
      <c r="B60" s="30"/>
      <c r="C60" s="20"/>
      <c r="D60" s="19"/>
      <c r="E60" s="31">
        <f>C60/$C$26</f>
        <v>0</v>
      </c>
      <c r="F60" s="22">
        <v>1</v>
      </c>
      <c r="G60" s="10">
        <f t="shared" si="0"/>
        <v>0</v>
      </c>
      <c r="H60" s="32"/>
      <c r="I60" s="32"/>
      <c r="J60" s="8"/>
      <c r="K60" s="8"/>
      <c r="L60" s="4"/>
    </row>
    <row r="61" spans="2:12" x14ac:dyDescent="0.25">
      <c r="B61" s="30"/>
      <c r="C61" s="20"/>
      <c r="D61" s="19"/>
      <c r="E61" s="31">
        <f t="shared" ref="E61:E67" si="6">C61/$C$26</f>
        <v>0</v>
      </c>
      <c r="F61" s="22">
        <v>1</v>
      </c>
      <c r="G61" s="10">
        <f t="shared" si="0"/>
        <v>0</v>
      </c>
      <c r="H61" s="32"/>
      <c r="I61" s="32"/>
      <c r="J61" s="8"/>
      <c r="K61" s="8"/>
      <c r="L61" s="4"/>
    </row>
    <row r="62" spans="2:12" x14ac:dyDescent="0.25">
      <c r="B62" s="30"/>
      <c r="C62" s="20"/>
      <c r="D62" s="19"/>
      <c r="E62" s="31">
        <f t="shared" si="6"/>
        <v>0</v>
      </c>
      <c r="F62" s="22">
        <v>1</v>
      </c>
      <c r="G62" s="10">
        <f t="shared" si="0"/>
        <v>0</v>
      </c>
      <c r="H62" s="32"/>
      <c r="I62" s="32"/>
      <c r="J62" s="8"/>
      <c r="K62" s="8"/>
      <c r="L62" s="4"/>
    </row>
    <row r="63" spans="2:12" x14ac:dyDescent="0.25">
      <c r="B63" s="30"/>
      <c r="C63" s="20"/>
      <c r="D63" s="19"/>
      <c r="E63" s="31">
        <f t="shared" si="6"/>
        <v>0</v>
      </c>
      <c r="F63" s="22">
        <v>1</v>
      </c>
      <c r="G63" s="10">
        <f t="shared" si="0"/>
        <v>0</v>
      </c>
      <c r="H63" s="32"/>
      <c r="I63" s="32"/>
      <c r="J63" s="8"/>
      <c r="K63" s="8"/>
      <c r="L63" s="4"/>
    </row>
    <row r="64" spans="2:12" x14ac:dyDescent="0.25">
      <c r="B64" s="30"/>
      <c r="C64" s="20"/>
      <c r="D64" s="19"/>
      <c r="E64" s="31">
        <f t="shared" si="6"/>
        <v>0</v>
      </c>
      <c r="F64" s="22">
        <v>1</v>
      </c>
      <c r="G64" s="10">
        <f t="shared" si="0"/>
        <v>0</v>
      </c>
      <c r="H64" s="32"/>
      <c r="I64" s="32"/>
      <c r="J64" s="8"/>
      <c r="K64" s="8"/>
      <c r="L64" s="4"/>
    </row>
    <row r="65" spans="2:12" x14ac:dyDescent="0.25">
      <c r="B65" s="30"/>
      <c r="C65" s="20"/>
      <c r="D65" s="19"/>
      <c r="E65" s="31">
        <f t="shared" si="6"/>
        <v>0</v>
      </c>
      <c r="F65" s="22">
        <v>1</v>
      </c>
      <c r="G65" s="10">
        <f t="shared" si="0"/>
        <v>0</v>
      </c>
      <c r="H65" s="32"/>
      <c r="I65" s="32"/>
      <c r="J65" s="8"/>
      <c r="K65" s="8"/>
      <c r="L65" s="4"/>
    </row>
    <row r="66" spans="2:12" x14ac:dyDescent="0.25">
      <c r="B66" s="30"/>
      <c r="C66" s="20"/>
      <c r="D66" s="19"/>
      <c r="E66" s="31">
        <f t="shared" si="6"/>
        <v>0</v>
      </c>
      <c r="F66" s="22">
        <v>1</v>
      </c>
      <c r="G66" s="10">
        <f t="shared" si="0"/>
        <v>0</v>
      </c>
      <c r="H66" s="32"/>
      <c r="I66" s="32"/>
      <c r="J66" s="8"/>
      <c r="K66" s="8"/>
      <c r="L66" s="4"/>
    </row>
    <row r="67" spans="2:12" x14ac:dyDescent="0.25">
      <c r="B67" s="30"/>
      <c r="C67" s="20"/>
      <c r="D67" s="19"/>
      <c r="E67" s="31">
        <f t="shared" si="6"/>
        <v>0</v>
      </c>
      <c r="F67" s="22">
        <v>1</v>
      </c>
      <c r="G67" s="10">
        <f t="shared" si="0"/>
        <v>0</v>
      </c>
      <c r="H67" s="32"/>
      <c r="I67" s="32"/>
      <c r="J67" s="8"/>
      <c r="K67" s="8"/>
      <c r="L67" s="4"/>
    </row>
    <row r="68" spans="2:12" x14ac:dyDescent="0.25">
      <c r="B68" s="30"/>
      <c r="C68" s="20"/>
      <c r="D68" s="19"/>
      <c r="E68" s="31">
        <f>C68/$C$26</f>
        <v>0</v>
      </c>
      <c r="F68" s="22">
        <v>1</v>
      </c>
      <c r="G68" s="10">
        <f t="shared" si="0"/>
        <v>0</v>
      </c>
      <c r="H68" s="32"/>
      <c r="I68" s="32"/>
      <c r="J68" s="8"/>
      <c r="K68" s="8"/>
      <c r="L68" s="4"/>
    </row>
    <row r="69" spans="2:12" x14ac:dyDescent="0.25">
      <c r="B69" s="64" t="s">
        <v>2</v>
      </c>
      <c r="C69" s="65"/>
      <c r="D69" s="65"/>
      <c r="E69" s="65"/>
      <c r="F69" s="66"/>
      <c r="G69" s="10">
        <f>MAX(G29:G68)</f>
        <v>1.5051061277830192E-2</v>
      </c>
      <c r="H69" s="32"/>
      <c r="I69" s="32"/>
      <c r="J69" s="8"/>
      <c r="K69" s="8"/>
      <c r="L69" s="4"/>
    </row>
    <row r="70" spans="2:12" x14ac:dyDescent="0.25">
      <c r="B70" s="64" t="s">
        <v>3</v>
      </c>
      <c r="C70" s="65"/>
      <c r="D70" s="65"/>
      <c r="E70" s="65"/>
      <c r="F70" s="66"/>
      <c r="G70" s="10">
        <f>SUM(G29:G68)</f>
        <v>4.0825696802140543E-2</v>
      </c>
      <c r="H70" s="4"/>
    </row>
    <row r="71" spans="2:12" x14ac:dyDescent="0.25">
      <c r="B71" s="11"/>
      <c r="C71" s="12"/>
      <c r="D71" s="12"/>
      <c r="E71" s="12"/>
      <c r="F71" s="12"/>
      <c r="G71" s="13"/>
      <c r="H71" s="4"/>
    </row>
    <row r="72" spans="2:12" x14ac:dyDescent="0.25">
      <c r="B72" s="27" t="s">
        <v>16</v>
      </c>
      <c r="C72" s="67"/>
      <c r="D72" s="67"/>
      <c r="E72" s="24" t="s">
        <v>17</v>
      </c>
      <c r="F72" s="67"/>
      <c r="G72" s="68"/>
      <c r="H72" s="4"/>
    </row>
    <row r="73" spans="2:12" x14ac:dyDescent="0.25">
      <c r="B73" s="27" t="s">
        <v>0</v>
      </c>
      <c r="C73" s="67"/>
      <c r="D73" s="67"/>
      <c r="E73" s="24" t="s">
        <v>0</v>
      </c>
      <c r="F73" s="67"/>
      <c r="G73" s="68"/>
      <c r="H73" s="4"/>
    </row>
    <row r="74" spans="2:12" ht="14.4" thickBot="1" x14ac:dyDescent="0.3">
      <c r="B74" s="14"/>
      <c r="C74" s="15"/>
      <c r="D74" s="15"/>
      <c r="E74" s="15"/>
      <c r="F74" s="15"/>
      <c r="G74" s="16"/>
      <c r="H74" s="4"/>
    </row>
  </sheetData>
  <mergeCells count="24">
    <mergeCell ref="B69:F69"/>
    <mergeCell ref="B70:F70"/>
    <mergeCell ref="C72:D72"/>
    <mergeCell ref="F72:G72"/>
    <mergeCell ref="C73:D73"/>
    <mergeCell ref="F73:G73"/>
    <mergeCell ref="B21:G21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B18:G18"/>
    <mergeCell ref="C7:G7"/>
    <mergeCell ref="B2:G2"/>
    <mergeCell ref="B3:G3"/>
    <mergeCell ref="B4:G4"/>
    <mergeCell ref="B5:G5"/>
    <mergeCell ref="B6:G6"/>
  </mergeCells>
  <printOptions horizontalCentered="1"/>
  <pageMargins left="7.874015748031496E-2" right="7.874015748031496E-2" top="7.874015748031496E-2" bottom="7.874015748031496E-2" header="7.874015748031496E-2" footer="7.874015748031496E-2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BICTE API (2)</vt:lpstr>
      <vt:lpstr>'BICTE API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Kathrotia, Tarang</dc:creator>
  <cp:lastModifiedBy>Kathrotia, Tarang</cp:lastModifiedBy>
  <cp:lastPrinted>2025-02-07T10:42:07Z</cp:lastPrinted>
  <dcterms:created xsi:type="dcterms:W3CDTF">2015-03-25T08:15:55Z</dcterms:created>
  <dcterms:modified xsi:type="dcterms:W3CDTF">2026-06-24T10:24:05Z</dcterms:modified>
</cp:coreProperties>
</file>