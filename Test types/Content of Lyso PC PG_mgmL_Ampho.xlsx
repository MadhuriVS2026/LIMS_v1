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600" tabRatio="788"/>
  </bookViews>
  <sheets>
    <sheet name="1" sheetId="94" r:id="rId1"/>
  </sheets>
  <definedNames>
    <definedName name="_xlnm.Print_Area" localSheetId="0">'1'!$A$1:$N$68</definedName>
  </definedNames>
  <calcPr calcId="162913"/>
</workbook>
</file>

<file path=xl/calcChain.xml><?xml version="1.0" encoding="utf-8"?>
<calcChain xmlns="http://schemas.openxmlformats.org/spreadsheetml/2006/main">
  <c r="M58" i="94" l="1"/>
  <c r="L58" i="94"/>
  <c r="M57" i="94"/>
  <c r="L57" i="94"/>
  <c r="F53" i="94"/>
  <c r="E53" i="94"/>
  <c r="D53" i="94"/>
  <c r="C53" i="94"/>
  <c r="M45" i="94"/>
  <c r="L45" i="94"/>
  <c r="M44" i="94"/>
  <c r="L44" i="94"/>
  <c r="M43" i="94"/>
  <c r="L43" i="94"/>
  <c r="M42" i="94"/>
  <c r="L42" i="94"/>
  <c r="M41" i="94"/>
  <c r="L41" i="94"/>
  <c r="M40" i="94"/>
  <c r="M47" i="94" s="1"/>
  <c r="L40" i="94"/>
  <c r="M33" i="94"/>
  <c r="L33" i="94"/>
  <c r="L34" i="94" s="1"/>
  <c r="M32" i="94"/>
  <c r="M34" i="94" s="1"/>
  <c r="L32" i="94"/>
  <c r="M31" i="94"/>
  <c r="L31" i="94"/>
  <c r="M30" i="94"/>
  <c r="L30" i="94"/>
  <c r="M29" i="94"/>
  <c r="L29" i="94"/>
  <c r="M28" i="94"/>
  <c r="M46" i="94" s="1"/>
  <c r="L28" i="94"/>
  <c r="P25" i="94"/>
  <c r="P22" i="94"/>
  <c r="C11" i="94"/>
  <c r="B53" i="94" s="1"/>
  <c r="L47" i="94" l="1"/>
  <c r="C61" i="94"/>
  <c r="C62" i="94"/>
  <c r="E62" i="94" s="1"/>
  <c r="M48" i="94"/>
  <c r="D62" i="94"/>
  <c r="F62" i="94" s="1"/>
  <c r="D61" i="94"/>
  <c r="L35" i="94"/>
  <c r="L36" i="94" s="1"/>
  <c r="M35" i="94"/>
  <c r="M36" i="94" s="1"/>
  <c r="L46" i="94"/>
  <c r="L48" i="94" s="1"/>
  <c r="D63" i="94" l="1"/>
  <c r="F61" i="94"/>
  <c r="F63" i="94" s="1"/>
  <c r="E61" i="94"/>
  <c r="E63" i="94" s="1"/>
  <c r="C63" i="94"/>
</calcChain>
</file>

<file path=xl/sharedStrings.xml><?xml version="1.0" encoding="utf-8"?>
<sst xmlns="http://schemas.openxmlformats.org/spreadsheetml/2006/main" count="132" uniqueCount="62">
  <si>
    <t>Mean</t>
  </si>
  <si>
    <t>SD</t>
  </si>
  <si>
    <t>% RSD</t>
  </si>
  <si>
    <t>Injection No.</t>
  </si>
  <si>
    <t>Vol</t>
  </si>
  <si>
    <t>Pip</t>
  </si>
  <si>
    <t>LC</t>
  </si>
  <si>
    <t>Area</t>
  </si>
  <si>
    <t>TRF No.</t>
  </si>
  <si>
    <t>AR No.</t>
  </si>
  <si>
    <t>Weight in mg</t>
  </si>
  <si>
    <t>Date</t>
  </si>
  <si>
    <t>Checked By</t>
  </si>
  <si>
    <t>Analyzed By</t>
  </si>
  <si>
    <t>Packing Detail</t>
  </si>
  <si>
    <t>Batch No.</t>
  </si>
  <si>
    <t>Potency</t>
  </si>
  <si>
    <t>Standard Detail</t>
  </si>
  <si>
    <t>BKT Standard Detail</t>
  </si>
  <si>
    <t>R &amp; D Gandhinagar</t>
  </si>
  <si>
    <t>Analytical Development</t>
  </si>
  <si>
    <t>Generic Name</t>
  </si>
  <si>
    <t>Product Name</t>
  </si>
  <si>
    <t>Test</t>
  </si>
  <si>
    <t>Analysis as per</t>
  </si>
  <si>
    <t>Analysed By</t>
  </si>
  <si>
    <t>Instrument Id.</t>
  </si>
  <si>
    <t>Date of Analysis</t>
  </si>
  <si>
    <t>Standard Details</t>
  </si>
  <si>
    <t>Sample Details</t>
  </si>
  <si>
    <t>Compound Name</t>
  </si>
  <si>
    <t>Sorage Condition</t>
  </si>
  <si>
    <t>Assay Calculation Sheet</t>
  </si>
  <si>
    <t>Emcure</t>
  </si>
  <si>
    <t>Amphotericin B Liposome for injection</t>
  </si>
  <si>
    <t>IN HOUSE</t>
  </si>
  <si>
    <t>Lyso PC</t>
  </si>
  <si>
    <t>Lyso PG</t>
  </si>
  <si>
    <t>MV of Base</t>
  </si>
  <si>
    <t>MV of Salt</t>
  </si>
  <si>
    <t>Lyso PC-1</t>
  </si>
  <si>
    <t>Lyso PG-1</t>
  </si>
  <si>
    <t>Lyso PG-2</t>
  </si>
  <si>
    <t>Lyso PC-2</t>
  </si>
  <si>
    <t>Lyso PC-3</t>
  </si>
  <si>
    <t>Lyso PC-4</t>
  </si>
  <si>
    <t>Sample</t>
  </si>
  <si>
    <t>Avg</t>
  </si>
  <si>
    <t>Lyso PC Assay</t>
  </si>
  <si>
    <t>Lyso PG Assay</t>
  </si>
  <si>
    <t>Sum Area</t>
  </si>
  <si>
    <t>LYSO PC-LYSO PG</t>
  </si>
  <si>
    <t>Lyso PC-5</t>
  </si>
  <si>
    <t>Initial</t>
  </si>
  <si>
    <t>Lyso PC mg/mL</t>
  </si>
  <si>
    <t>Lyso PG  mg/mL</t>
  </si>
  <si>
    <t>ES20E019</t>
  </si>
  <si>
    <t>NA</t>
  </si>
  <si>
    <t>Harshal Bhatt</t>
  </si>
  <si>
    <t>AD/HPLC/041</t>
  </si>
  <si>
    <t>5% Dextrose  (PVC Bag, 0.2mg/mL)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</si>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</sst>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0" xfId="0" applyFont="1" applyProtection="1">
      <protection hidden="1"/>
    </xf>
    <xf numFmtId="0" fontId="3" fillId="0" borderId="0" xfId="0" applyFont="1" applyFill="1" applyProtection="1">
      <protection hidden="1"/>
    </xf>
    <xf numFmtId="2" fontId="1" fillId="3" borderId="1" xfId="0" applyNumberFormat="1" applyFont="1" applyFill="1" applyBorder="1" applyAlignment="1" applyProtection="1">
      <alignment horizontal="center" vertical="center"/>
      <protection locked="0"/>
    </xf>
    <xf numFmtId="164" fontId="1" fillId="3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vertical="center"/>
      <protection hidden="1"/>
    </xf>
    <xf numFmtId="0" fontId="5" fillId="2" borderId="9" xfId="0" applyFont="1" applyFill="1" applyBorder="1" applyAlignment="1" applyProtection="1">
      <alignment horizontal="left" vertical="center"/>
      <protection hidden="1"/>
    </xf>
    <xf numFmtId="0" fontId="1" fillId="3" borderId="1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hidden="1"/>
    </xf>
    <xf numFmtId="0" fontId="1" fillId="0" borderId="7" xfId="0" applyFont="1" applyBorder="1" applyProtection="1">
      <protection hidden="1"/>
    </xf>
    <xf numFmtId="0" fontId="1" fillId="0" borderId="0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Protection="1">
      <protection hidden="1"/>
    </xf>
    <xf numFmtId="0" fontId="2" fillId="0" borderId="9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Fill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left" wrapText="1"/>
      <protection hidden="1"/>
    </xf>
    <xf numFmtId="0" fontId="1" fillId="0" borderId="0" xfId="0" applyFont="1" applyBorder="1" applyAlignment="1" applyProtection="1">
      <alignment horizontal="left" wrapText="1"/>
      <protection hidden="1"/>
    </xf>
    <xf numFmtId="0" fontId="2" fillId="0" borderId="9" xfId="0" applyFont="1" applyFill="1" applyBorder="1" applyAlignment="1" applyProtection="1">
      <alignment horizontal="center" wrapText="1"/>
      <protection hidden="1"/>
    </xf>
    <xf numFmtId="0" fontId="2" fillId="0" borderId="1" xfId="0" applyFont="1" applyFill="1" applyBorder="1" applyAlignment="1" applyProtection="1">
      <alignment horizontal="center" wrapText="1"/>
      <protection hidden="1"/>
    </xf>
    <xf numFmtId="0" fontId="2" fillId="0" borderId="9" xfId="0" applyFont="1" applyFill="1" applyBorder="1" applyAlignment="1" applyProtection="1">
      <alignment horizontal="center" vertical="center"/>
      <protection hidden="1"/>
    </xf>
    <xf numFmtId="0" fontId="2" fillId="0" borderId="1" xfId="0" applyFont="1" applyFill="1" applyBorder="1" applyAlignment="1" applyProtection="1">
      <alignment horizontal="center" vertical="center"/>
      <protection hidden="1"/>
    </xf>
    <xf numFmtId="0" fontId="1" fillId="0" borderId="1" xfId="0" applyFont="1" applyFill="1" applyBorder="1" applyAlignment="1" applyProtection="1">
      <alignment horizontal="center" wrapText="1"/>
      <protection hidden="1"/>
    </xf>
    <xf numFmtId="164" fontId="1" fillId="0" borderId="1" xfId="0" applyNumberFormat="1" applyFont="1" applyFill="1" applyBorder="1" applyAlignment="1" applyProtection="1">
      <alignment horizontal="center"/>
      <protection hidden="1"/>
    </xf>
    <xf numFmtId="1" fontId="1" fillId="0" borderId="1" xfId="0" applyNumberFormat="1" applyFont="1" applyFill="1" applyBorder="1" applyAlignment="1" applyProtection="1">
      <alignment horizontal="center" wrapText="1"/>
      <protection hidden="1"/>
    </xf>
    <xf numFmtId="164" fontId="1" fillId="0" borderId="1" xfId="0" applyNumberFormat="1" applyFont="1" applyFill="1" applyBorder="1" applyAlignment="1" applyProtection="1">
      <alignment horizontal="center" wrapText="1"/>
      <protection hidden="1"/>
    </xf>
    <xf numFmtId="0" fontId="1" fillId="0" borderId="7" xfId="0" applyFont="1" applyFill="1" applyBorder="1" applyProtection="1">
      <protection hidden="1"/>
    </xf>
    <xf numFmtId="0" fontId="1" fillId="0" borderId="0" xfId="0" applyFont="1" applyFill="1" applyBorder="1" applyProtection="1"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2" fontId="1" fillId="0" borderId="1" xfId="0" applyNumberFormat="1" applyFont="1" applyBorder="1" applyAlignment="1" applyProtection="1">
      <alignment horizontal="center"/>
      <protection hidden="1"/>
    </xf>
    <xf numFmtId="164" fontId="1" fillId="0" borderId="1" xfId="0" applyNumberFormat="1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2" fontId="2" fillId="0" borderId="1" xfId="0" applyNumberFormat="1" applyFont="1" applyBorder="1" applyAlignment="1" applyProtection="1">
      <alignment horizontal="center"/>
      <protection hidden="1"/>
    </xf>
    <xf numFmtId="164" fontId="2" fillId="0" borderId="1" xfId="0" applyNumberFormat="1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1" fillId="0" borderId="12" xfId="0" applyFont="1" applyBorder="1" applyProtection="1"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4" xfId="0" applyFont="1" applyBorder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1" fontId="1" fillId="3" borderId="1" xfId="0" applyNumberFormat="1" applyFont="1" applyFill="1" applyBorder="1" applyAlignment="1" applyProtection="1">
      <alignment horizontal="center"/>
    </xf>
    <xf numFmtId="164" fontId="1" fillId="3" borderId="1" xfId="0" applyNumberFormat="1" applyFont="1" applyFill="1" applyBorder="1" applyAlignment="1" applyProtection="1">
      <alignment horizontal="center"/>
    </xf>
    <xf numFmtId="0" fontId="1" fillId="0" borderId="13" xfId="0" applyFont="1" applyBorder="1" applyProtection="1">
      <protection hidden="1"/>
    </xf>
    <xf numFmtId="14" fontId="1" fillId="3" borderId="1" xfId="0" applyNumberFormat="1" applyFont="1" applyFill="1" applyBorder="1" applyAlignment="1" applyProtection="1">
      <alignment horizontal="center"/>
      <protection locked="0"/>
    </xf>
    <xf numFmtId="165" fontId="1" fillId="3" borderId="1" xfId="0" applyNumberFormat="1" applyFont="1" applyFill="1" applyBorder="1" applyAlignment="1" applyProtection="1">
      <alignment horizontal="center" vertical="center"/>
      <protection locked="0"/>
    </xf>
    <xf numFmtId="1" fontId="1" fillId="3" borderId="1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/>
      <protection hidden="1"/>
    </xf>
    <xf numFmtId="165" fontId="1" fillId="0" borderId="1" xfId="0" applyNumberFormat="1" applyFont="1" applyBorder="1" applyAlignment="1" applyProtection="1">
      <alignment horizontal="center"/>
      <protection hidden="1"/>
    </xf>
    <xf numFmtId="0" fontId="1" fillId="0" borderId="0" xfId="0" applyFont="1" applyBorder="1" applyAlignment="1" applyProtection="1">
      <alignment horizontal="center"/>
      <protection hidden="1"/>
    </xf>
    <xf numFmtId="0" fontId="5" fillId="0" borderId="9" xfId="0" applyFont="1" applyFill="1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 applyProtection="1">
      <alignment horizontal="center" vertical="center"/>
      <protection hidden="1"/>
    </xf>
    <xf numFmtId="0" fontId="5" fillId="0" borderId="10" xfId="0" applyFont="1" applyFill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1" fillId="3" borderId="2" xfId="0" applyFont="1" applyFill="1" applyBorder="1" applyAlignment="1" applyProtection="1">
      <alignment horizontal="center"/>
      <protection locked="0"/>
    </xf>
    <xf numFmtId="0" fontId="1" fillId="3" borderId="15" xfId="0" applyFont="1" applyFill="1" applyBorder="1" applyAlignment="1" applyProtection="1">
      <alignment horizont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3" fillId="3" borderId="10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16" xfId="0" applyFont="1" applyFill="1" applyBorder="1" applyAlignment="1" applyProtection="1">
      <alignment horizontal="left" vertical="center"/>
      <protection locked="0"/>
    </xf>
    <xf numFmtId="0" fontId="3" fillId="3" borderId="15" xfId="0" applyFont="1" applyFill="1" applyBorder="1" applyAlignment="1" applyProtection="1">
      <alignment horizontal="left" vertical="center"/>
      <protection locked="0"/>
    </xf>
    <xf numFmtId="14" fontId="3" fillId="3" borderId="1" xfId="0" applyNumberFormat="1" applyFont="1" applyFill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center"/>
      <protection hidden="1"/>
    </xf>
    <xf numFmtId="0" fontId="6" fillId="0" borderId="5" xfId="0" applyFont="1" applyBorder="1" applyAlignment="1" applyProtection="1">
      <alignment horizontal="center"/>
      <protection hidden="1"/>
    </xf>
    <xf numFmtId="0" fontId="6" fillId="0" borderId="6" xfId="0" applyFont="1" applyBorder="1" applyAlignment="1" applyProtection="1">
      <alignment horizontal="center"/>
      <protection hidden="1"/>
    </xf>
    <xf numFmtId="0" fontId="4" fillId="0" borderId="7" xfId="0" applyFont="1" applyBorder="1" applyAlignment="1" applyProtection="1">
      <alignment horizontal="center"/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66"/>
      <color rgb="FFB8CCE4"/>
      <color rgb="FFFCD5B4"/>
      <color rgb="FFFF99CC"/>
      <color rgb="FF92D05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67"/>
  <sheetViews>
    <sheetView tabSelected="1" view="pageBreakPreview" topLeftCell="A25" zoomScale="70" zoomScaleNormal="70" zoomScaleSheetLayoutView="70" workbookViewId="0">
      <selection activeCell="C10" sqref="C10:N10"/>
    </sheetView>
  </sheetViews>
  <sheetFormatPr defaultRowHeight="17.100000000000001" customHeight="1" x14ac:dyDescent="0.25"/>
  <cols>
    <col min="1" max="1" width="4.28515625" style="12" customWidth="1"/>
    <col min="2" max="2" width="21" style="12" customWidth="1"/>
    <col min="3" max="3" width="19.140625" style="12" customWidth="1"/>
    <col min="4" max="4" width="16.42578125" style="12" customWidth="1"/>
    <col min="5" max="5" width="16" style="12" customWidth="1"/>
    <col min="6" max="6" width="16.42578125" style="12" customWidth="1"/>
    <col min="7" max="7" width="13.28515625" style="12" customWidth="1"/>
    <col min="8" max="8" width="12.5703125" style="43" customWidth="1"/>
    <col min="9" max="10" width="13.5703125" style="12" customWidth="1"/>
    <col min="11" max="11" width="14.140625" style="12" customWidth="1"/>
    <col min="12" max="12" width="17.7109375" style="12" customWidth="1"/>
    <col min="13" max="13" width="14.42578125" style="12" customWidth="1"/>
    <col min="14" max="14" width="11.140625" style="12" customWidth="1"/>
    <col min="15" max="15" width="11.7109375" style="12" customWidth="1"/>
    <col min="16" max="16" width="11.140625" style="12" bestFit="1" customWidth="1"/>
    <col min="17" max="16384" width="9.140625" style="12"/>
  </cols>
  <sheetData>
    <row r="1" spans="2:14" ht="17.100000000000001" customHeight="1" thickBot="1" x14ac:dyDescent="0.3"/>
    <row r="2" spans="2:14" s="1" customFormat="1" ht="21" customHeight="1" x14ac:dyDescent="0.3">
      <c r="B2" s="68" t="s">
        <v>33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70"/>
    </row>
    <row r="3" spans="2:14" s="1" customFormat="1" ht="17.100000000000001" customHeight="1" x14ac:dyDescent="0.25">
      <c r="B3" s="71" t="s">
        <v>19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3"/>
    </row>
    <row r="4" spans="2:14" s="1" customFormat="1" ht="17.100000000000001" customHeight="1" x14ac:dyDescent="0.25">
      <c r="B4" s="71" t="s">
        <v>20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/>
    </row>
    <row r="5" spans="2:14" s="8" customFormat="1" ht="17.100000000000001" customHeight="1" x14ac:dyDescent="0.25">
      <c r="B5" s="71" t="s">
        <v>32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3"/>
    </row>
    <row r="6" spans="2:14" s="1" customFormat="1" ht="17.100000000000001" customHeight="1" x14ac:dyDescent="0.2">
      <c r="B6" s="5" t="s">
        <v>21</v>
      </c>
      <c r="C6" s="62" t="s">
        <v>34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3"/>
    </row>
    <row r="7" spans="2:14" s="1" customFormat="1" ht="17.100000000000001" customHeight="1" x14ac:dyDescent="0.2">
      <c r="B7" s="5" t="s">
        <v>22</v>
      </c>
      <c r="C7" s="62" t="s">
        <v>34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3"/>
    </row>
    <row r="8" spans="2:14" s="1" customFormat="1" ht="17.100000000000001" customHeight="1" x14ac:dyDescent="0.2">
      <c r="B8" s="5" t="s">
        <v>15</v>
      </c>
      <c r="C8" s="62" t="s">
        <v>56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3"/>
    </row>
    <row r="9" spans="2:14" s="1" customFormat="1" ht="17.100000000000001" customHeight="1" x14ac:dyDescent="0.2">
      <c r="B9" s="5" t="s">
        <v>8</v>
      </c>
      <c r="C9" s="64" t="s">
        <v>57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s="1" customFormat="1" ht="17.100000000000001" customHeight="1" x14ac:dyDescent="0.2">
      <c r="B10" s="5" t="s">
        <v>9</v>
      </c>
      <c r="C10" s="64" t="s">
        <v>57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6"/>
    </row>
    <row r="11" spans="2:14" s="1" customFormat="1" ht="17.100000000000001" customHeight="1" x14ac:dyDescent="0.2">
      <c r="B11" s="5" t="s">
        <v>15</v>
      </c>
      <c r="C11" s="62" t="str">
        <f>C8</f>
        <v>ES20E019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3"/>
    </row>
    <row r="12" spans="2:14" s="1" customFormat="1" ht="16.5" customHeight="1" x14ac:dyDescent="0.2">
      <c r="B12" s="5" t="s">
        <v>31</v>
      </c>
      <c r="C12" s="62" t="s">
        <v>53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3"/>
    </row>
    <row r="13" spans="2:14" s="1" customFormat="1" ht="16.5" customHeight="1" x14ac:dyDescent="0.2">
      <c r="B13" s="5" t="s">
        <v>14</v>
      </c>
      <c r="C13" s="62" t="s">
        <v>60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3"/>
    </row>
    <row r="14" spans="2:14" s="2" customFormat="1" ht="17.100000000000001" customHeight="1" x14ac:dyDescent="0.2">
      <c r="B14" s="5" t="s">
        <v>23</v>
      </c>
      <c r="C14" s="62" t="s">
        <v>51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3"/>
    </row>
    <row r="15" spans="2:14" s="2" customFormat="1" ht="17.100000000000001" customHeight="1" x14ac:dyDescent="0.2">
      <c r="B15" s="6" t="s">
        <v>24</v>
      </c>
      <c r="C15" s="62" t="s">
        <v>35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3"/>
    </row>
    <row r="16" spans="2:14" s="1" customFormat="1" ht="17.100000000000001" customHeight="1" x14ac:dyDescent="0.2">
      <c r="B16" s="5" t="s">
        <v>25</v>
      </c>
      <c r="C16" s="62" t="s">
        <v>58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/>
    </row>
    <row r="17" spans="2:16" s="1" customFormat="1" ht="17.100000000000001" customHeight="1" x14ac:dyDescent="0.2">
      <c r="B17" s="5" t="s">
        <v>26</v>
      </c>
      <c r="C17" s="62" t="s">
        <v>59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3"/>
    </row>
    <row r="18" spans="2:16" s="1" customFormat="1" ht="17.100000000000001" customHeight="1" x14ac:dyDescent="0.2">
      <c r="B18" s="5" t="s">
        <v>27</v>
      </c>
      <c r="C18" s="67">
        <v>45260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3"/>
    </row>
    <row r="19" spans="2:16" ht="17.100000000000001" customHeight="1" x14ac:dyDescent="0.25">
      <c r="B19" s="9"/>
      <c r="C19" s="10"/>
      <c r="D19" s="10"/>
      <c r="E19" s="10"/>
      <c r="F19" s="10"/>
      <c r="G19" s="10"/>
      <c r="H19" s="52"/>
      <c r="I19" s="10"/>
      <c r="J19" s="10"/>
      <c r="K19" s="10"/>
      <c r="L19" s="10"/>
      <c r="M19" s="10"/>
      <c r="N19" s="11"/>
    </row>
    <row r="20" spans="2:16" ht="17.100000000000001" customHeight="1" x14ac:dyDescent="0.25">
      <c r="B20" s="55" t="s">
        <v>28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7"/>
    </row>
    <row r="21" spans="2:16" ht="17.100000000000001" customHeight="1" x14ac:dyDescent="0.25">
      <c r="B21" s="9"/>
      <c r="C21" s="10"/>
      <c r="D21" s="10"/>
      <c r="E21" s="10"/>
      <c r="F21" s="10"/>
      <c r="G21" s="10"/>
      <c r="H21" s="52"/>
      <c r="I21" s="10"/>
      <c r="J21" s="10"/>
      <c r="K21" s="10"/>
      <c r="L21" s="10"/>
      <c r="M21" s="10"/>
      <c r="N21" s="11"/>
    </row>
    <row r="22" spans="2:16" ht="17.100000000000001" customHeight="1" x14ac:dyDescent="0.25">
      <c r="B22" s="13" t="s">
        <v>30</v>
      </c>
      <c r="C22" s="14" t="s">
        <v>10</v>
      </c>
      <c r="D22" s="14" t="s">
        <v>4</v>
      </c>
      <c r="E22" s="14" t="s">
        <v>5</v>
      </c>
      <c r="F22" s="14" t="s">
        <v>4</v>
      </c>
      <c r="G22" s="14" t="s">
        <v>38</v>
      </c>
      <c r="H22" s="14" t="s">
        <v>39</v>
      </c>
      <c r="I22" s="14" t="s">
        <v>16</v>
      </c>
      <c r="J22" s="14" t="s">
        <v>6</v>
      </c>
      <c r="K22" s="10"/>
      <c r="L22" s="10"/>
      <c r="M22" s="10"/>
      <c r="N22" s="11"/>
      <c r="P22" s="12">
        <f>C28+D28+E28+G28</f>
        <v>11627818</v>
      </c>
    </row>
    <row r="23" spans="2:16" ht="17.100000000000001" customHeight="1" x14ac:dyDescent="0.25">
      <c r="B23" s="7" t="s">
        <v>36</v>
      </c>
      <c r="C23" s="48">
        <v>17.547000000000001</v>
      </c>
      <c r="D23" s="51">
        <v>50</v>
      </c>
      <c r="E23" s="51">
        <v>4</v>
      </c>
      <c r="F23" s="51">
        <v>20</v>
      </c>
      <c r="G23" s="51">
        <v>1</v>
      </c>
      <c r="H23" s="51">
        <v>1</v>
      </c>
      <c r="I23" s="51">
        <v>98</v>
      </c>
      <c r="J23" s="4">
        <v>1</v>
      </c>
      <c r="K23" s="10"/>
      <c r="L23" s="10"/>
      <c r="M23" s="10"/>
      <c r="N23" s="11"/>
    </row>
    <row r="24" spans="2:16" ht="17.100000000000001" customHeight="1" x14ac:dyDescent="0.25">
      <c r="B24" s="7" t="s">
        <v>37</v>
      </c>
      <c r="C24" s="48">
        <v>18.411000000000001</v>
      </c>
      <c r="D24" s="51">
        <v>100</v>
      </c>
      <c r="E24" s="51">
        <v>4</v>
      </c>
      <c r="F24" s="51">
        <v>20</v>
      </c>
      <c r="G24" s="51">
        <v>511.61</v>
      </c>
      <c r="H24" s="51">
        <v>534.6</v>
      </c>
      <c r="I24" s="51">
        <v>98.3</v>
      </c>
      <c r="J24" s="4">
        <v>1</v>
      </c>
      <c r="K24" s="10"/>
      <c r="L24" s="10"/>
      <c r="M24" s="10"/>
      <c r="N24" s="11"/>
    </row>
    <row r="25" spans="2:16" ht="17.100000000000001" customHeight="1" x14ac:dyDescent="0.25">
      <c r="B25" s="15"/>
      <c r="C25" s="16"/>
      <c r="D25" s="16"/>
      <c r="E25" s="16"/>
      <c r="F25" s="16"/>
      <c r="G25" s="52"/>
      <c r="H25" s="52"/>
      <c r="I25" s="10"/>
      <c r="J25" s="10"/>
      <c r="K25" s="52"/>
      <c r="L25" s="10"/>
      <c r="M25" s="10"/>
      <c r="N25" s="11"/>
      <c r="P25" s="12">
        <f>+L28+G28</f>
        <v>20676581</v>
      </c>
    </row>
    <row r="26" spans="2:16" ht="17.100000000000001" customHeight="1" x14ac:dyDescent="0.25">
      <c r="B26" s="17" t="s">
        <v>17</v>
      </c>
      <c r="C26" s="18" t="s">
        <v>40</v>
      </c>
      <c r="D26" s="18" t="s">
        <v>43</v>
      </c>
      <c r="E26" s="18" t="s">
        <v>44</v>
      </c>
      <c r="F26" s="18" t="s">
        <v>45</v>
      </c>
      <c r="G26" s="18" t="s">
        <v>52</v>
      </c>
      <c r="H26" s="18" t="s">
        <v>41</v>
      </c>
      <c r="I26" s="18" t="s">
        <v>42</v>
      </c>
      <c r="J26" s="10"/>
      <c r="K26" s="18" t="s">
        <v>17</v>
      </c>
      <c r="L26" s="18" t="s">
        <v>36</v>
      </c>
      <c r="M26" s="18" t="s">
        <v>37</v>
      </c>
      <c r="N26" s="11"/>
    </row>
    <row r="27" spans="2:16" ht="17.100000000000001" customHeight="1" x14ac:dyDescent="0.25">
      <c r="B27" s="13" t="s">
        <v>3</v>
      </c>
      <c r="C27" s="18" t="s">
        <v>7</v>
      </c>
      <c r="D27" s="18" t="s">
        <v>7</v>
      </c>
      <c r="E27" s="18" t="s">
        <v>7</v>
      </c>
      <c r="F27" s="18" t="s">
        <v>7</v>
      </c>
      <c r="G27" s="18" t="s">
        <v>7</v>
      </c>
      <c r="H27" s="18" t="s">
        <v>7</v>
      </c>
      <c r="I27" s="18" t="s">
        <v>7</v>
      </c>
      <c r="J27" s="10"/>
      <c r="K27" s="14" t="s">
        <v>3</v>
      </c>
      <c r="L27" s="18" t="s">
        <v>50</v>
      </c>
      <c r="M27" s="18" t="s">
        <v>50</v>
      </c>
      <c r="N27" s="11"/>
    </row>
    <row r="28" spans="2:16" ht="17.100000000000001" customHeight="1" x14ac:dyDescent="0.25">
      <c r="B28" s="19">
        <v>1</v>
      </c>
      <c r="C28" s="50"/>
      <c r="D28" s="50">
        <v>1706610</v>
      </c>
      <c r="E28" s="50">
        <v>872445</v>
      </c>
      <c r="F28" s="50"/>
      <c r="G28" s="50">
        <v>9048763</v>
      </c>
      <c r="H28" s="50"/>
      <c r="I28" s="50">
        <v>6413351</v>
      </c>
      <c r="J28" s="10"/>
      <c r="K28" s="20">
        <v>1</v>
      </c>
      <c r="L28" s="21">
        <f>IF(SUM(C28:G28)=0," ",SUM(C28:G28))</f>
        <v>11627818</v>
      </c>
      <c r="M28" s="21">
        <f t="shared" ref="M28:M33" si="0">IF(SUM(H28:I28)=0," ",SUM(H28:I28))</f>
        <v>6413351</v>
      </c>
      <c r="N28" s="11"/>
    </row>
    <row r="29" spans="2:16" ht="17.100000000000001" customHeight="1" x14ac:dyDescent="0.25">
      <c r="B29" s="19">
        <v>2</v>
      </c>
      <c r="C29" s="50"/>
      <c r="D29" s="50">
        <v>1487968</v>
      </c>
      <c r="E29" s="50">
        <v>1074302</v>
      </c>
      <c r="F29" s="50"/>
      <c r="G29" s="50">
        <v>9204200</v>
      </c>
      <c r="H29" s="50"/>
      <c r="I29" s="50">
        <v>6624511</v>
      </c>
      <c r="J29" s="10"/>
      <c r="K29" s="20">
        <v>2</v>
      </c>
      <c r="L29" s="21">
        <f t="shared" ref="L29:L33" si="1">IF(SUM(C29:G29)=0," ",SUM(C29:G29))</f>
        <v>11766470</v>
      </c>
      <c r="M29" s="21">
        <f t="shared" si="0"/>
        <v>6624511</v>
      </c>
      <c r="N29" s="11"/>
    </row>
    <row r="30" spans="2:16" ht="17.100000000000001" customHeight="1" x14ac:dyDescent="0.25">
      <c r="B30" s="19">
        <v>3</v>
      </c>
      <c r="C30" s="50"/>
      <c r="D30" s="50">
        <v>1943332</v>
      </c>
      <c r="E30" s="50">
        <v>930726</v>
      </c>
      <c r="F30" s="50"/>
      <c r="G30" s="50">
        <v>8485849</v>
      </c>
      <c r="H30" s="50">
        <v>445189</v>
      </c>
      <c r="I30" s="50">
        <v>5798184</v>
      </c>
      <c r="J30" s="10"/>
      <c r="K30" s="20">
        <v>3</v>
      </c>
      <c r="L30" s="21">
        <f t="shared" si="1"/>
        <v>11359907</v>
      </c>
      <c r="M30" s="21">
        <f t="shared" si="0"/>
        <v>6243373</v>
      </c>
      <c r="N30" s="11"/>
    </row>
    <row r="31" spans="2:16" ht="17.100000000000001" customHeight="1" x14ac:dyDescent="0.25">
      <c r="B31" s="19">
        <v>4</v>
      </c>
      <c r="C31" s="50"/>
      <c r="D31" s="50">
        <v>1880162</v>
      </c>
      <c r="E31" s="50">
        <v>917999</v>
      </c>
      <c r="F31" s="50"/>
      <c r="G31" s="50">
        <v>8407082</v>
      </c>
      <c r="H31" s="50">
        <v>219204</v>
      </c>
      <c r="I31" s="50">
        <v>6345013</v>
      </c>
      <c r="J31" s="10"/>
      <c r="K31" s="20">
        <v>4</v>
      </c>
      <c r="L31" s="21">
        <f t="shared" si="1"/>
        <v>11205243</v>
      </c>
      <c r="M31" s="21">
        <f t="shared" si="0"/>
        <v>6564217</v>
      </c>
      <c r="N31" s="11"/>
    </row>
    <row r="32" spans="2:16" ht="17.100000000000001" customHeight="1" x14ac:dyDescent="0.25">
      <c r="B32" s="19">
        <v>5</v>
      </c>
      <c r="C32" s="49"/>
      <c r="D32" s="49">
        <v>1781139</v>
      </c>
      <c r="E32" s="49">
        <v>904518</v>
      </c>
      <c r="F32" s="50"/>
      <c r="G32" s="50">
        <v>8492351</v>
      </c>
      <c r="H32" s="49"/>
      <c r="I32" s="49">
        <v>6385523</v>
      </c>
      <c r="J32" s="10"/>
      <c r="K32" s="20">
        <v>5</v>
      </c>
      <c r="L32" s="21">
        <f t="shared" si="1"/>
        <v>11178008</v>
      </c>
      <c r="M32" s="21">
        <f t="shared" si="0"/>
        <v>6385523</v>
      </c>
      <c r="N32" s="11"/>
    </row>
    <row r="33" spans="2:14" ht="17.100000000000001" customHeight="1" x14ac:dyDescent="0.25">
      <c r="B33" s="19">
        <v>6</v>
      </c>
      <c r="C33" s="49"/>
      <c r="D33" s="49">
        <v>1832754</v>
      </c>
      <c r="E33" s="49">
        <v>525454</v>
      </c>
      <c r="F33" s="50"/>
      <c r="G33" s="50">
        <v>9315115</v>
      </c>
      <c r="H33" s="49"/>
      <c r="I33" s="49">
        <v>6292938</v>
      </c>
      <c r="J33" s="10"/>
      <c r="K33" s="20">
        <v>6</v>
      </c>
      <c r="L33" s="21">
        <f t="shared" si="1"/>
        <v>11673323</v>
      </c>
      <c r="M33" s="21">
        <f t="shared" si="0"/>
        <v>6292938</v>
      </c>
      <c r="N33" s="11"/>
    </row>
    <row r="34" spans="2:14" ht="17.100000000000001" customHeight="1" x14ac:dyDescent="0.25">
      <c r="B34" s="9"/>
      <c r="C34" s="10"/>
      <c r="D34" s="10"/>
      <c r="E34" s="10"/>
      <c r="F34" s="10"/>
      <c r="G34" s="10"/>
      <c r="H34" s="10"/>
      <c r="I34" s="10"/>
      <c r="J34" s="10"/>
      <c r="K34" s="22" t="s">
        <v>0</v>
      </c>
      <c r="L34" s="23">
        <f>IF(COUNT(L28:L33)=0," ",AVERAGE(L28:L33))</f>
        <v>11468461.5</v>
      </c>
      <c r="M34" s="23">
        <f>IF(COUNT(M28:M33)=0," ",AVERAGE(M28:M33))</f>
        <v>6420652.166666667</v>
      </c>
      <c r="N34" s="11"/>
    </row>
    <row r="35" spans="2:14" ht="17.100000000000001" customHeight="1" x14ac:dyDescent="0.25">
      <c r="B35" s="9"/>
      <c r="C35" s="10"/>
      <c r="D35" s="10"/>
      <c r="E35" s="10"/>
      <c r="F35" s="10"/>
      <c r="G35" s="10"/>
      <c r="H35" s="10"/>
      <c r="I35" s="10"/>
      <c r="J35" s="10"/>
      <c r="K35" s="22" t="s">
        <v>1</v>
      </c>
      <c r="L35" s="23">
        <f>STDEV(L28:L33)</f>
        <v>253615.09742974688</v>
      </c>
      <c r="M35" s="23">
        <f>STDEV(M28:M33)</f>
        <v>149127.77205124023</v>
      </c>
      <c r="N35" s="11"/>
    </row>
    <row r="36" spans="2:14" ht="17.100000000000001" customHeight="1" x14ac:dyDescent="0.25">
      <c r="B36" s="9"/>
      <c r="C36" s="10"/>
      <c r="D36" s="10"/>
      <c r="E36" s="10"/>
      <c r="F36" s="10"/>
      <c r="G36" s="10"/>
      <c r="H36" s="10"/>
      <c r="I36" s="10"/>
      <c r="J36" s="10"/>
      <c r="K36" s="22" t="s">
        <v>2</v>
      </c>
      <c r="L36" s="24">
        <f>L35*100/L34</f>
        <v>2.2114134265502559</v>
      </c>
      <c r="M36" s="24">
        <f>M35*100/M34</f>
        <v>2.3226265522597389</v>
      </c>
      <c r="N36" s="11"/>
    </row>
    <row r="37" spans="2:14" ht="17.100000000000001" customHeight="1" x14ac:dyDescent="0.25">
      <c r="B37" s="9"/>
      <c r="C37" s="10"/>
      <c r="D37" s="10"/>
      <c r="E37" s="10"/>
      <c r="F37" s="10"/>
      <c r="G37" s="10"/>
      <c r="H37" s="10"/>
      <c r="I37" s="10"/>
      <c r="J37" s="10"/>
      <c r="K37" s="54"/>
      <c r="L37" s="54"/>
      <c r="M37" s="54"/>
      <c r="N37" s="11"/>
    </row>
    <row r="38" spans="2:14" ht="17.100000000000001" customHeight="1" x14ac:dyDescent="0.25">
      <c r="B38" s="17" t="s">
        <v>18</v>
      </c>
      <c r="C38" s="18" t="s">
        <v>40</v>
      </c>
      <c r="D38" s="18" t="s">
        <v>43</v>
      </c>
      <c r="E38" s="18" t="s">
        <v>44</v>
      </c>
      <c r="F38" s="18" t="s">
        <v>45</v>
      </c>
      <c r="G38" s="18" t="s">
        <v>52</v>
      </c>
      <c r="H38" s="18" t="s">
        <v>41</v>
      </c>
      <c r="I38" s="18" t="s">
        <v>42</v>
      </c>
      <c r="J38" s="10"/>
      <c r="K38" s="18" t="s">
        <v>17</v>
      </c>
      <c r="L38" s="18" t="s">
        <v>36</v>
      </c>
      <c r="M38" s="18" t="s">
        <v>37</v>
      </c>
      <c r="N38" s="11"/>
    </row>
    <row r="39" spans="2:14" ht="17.100000000000001" customHeight="1" x14ac:dyDescent="0.25">
      <c r="B39" s="13" t="s">
        <v>3</v>
      </c>
      <c r="C39" s="18" t="s">
        <v>7</v>
      </c>
      <c r="D39" s="18" t="s">
        <v>7</v>
      </c>
      <c r="E39" s="18" t="s">
        <v>7</v>
      </c>
      <c r="F39" s="18" t="s">
        <v>7</v>
      </c>
      <c r="G39" s="18" t="s">
        <v>7</v>
      </c>
      <c r="H39" s="18" t="s">
        <v>7</v>
      </c>
      <c r="I39" s="18" t="s">
        <v>7</v>
      </c>
      <c r="J39" s="10"/>
      <c r="K39" s="14" t="s">
        <v>3</v>
      </c>
      <c r="L39" s="18" t="s">
        <v>50</v>
      </c>
      <c r="M39" s="18" t="s">
        <v>50</v>
      </c>
      <c r="N39" s="11"/>
    </row>
    <row r="40" spans="2:14" ht="17.100000000000001" customHeight="1" x14ac:dyDescent="0.25">
      <c r="B40" s="19">
        <v>1</v>
      </c>
      <c r="C40" s="50"/>
      <c r="D40" s="50">
        <v>2022020</v>
      </c>
      <c r="E40" s="50">
        <v>891173</v>
      </c>
      <c r="F40" s="50"/>
      <c r="G40" s="50">
        <v>8453647</v>
      </c>
      <c r="H40" s="50">
        <v>313945</v>
      </c>
      <c r="I40" s="50">
        <v>6255627</v>
      </c>
      <c r="J40" s="10"/>
      <c r="K40" s="20">
        <v>1</v>
      </c>
      <c r="L40" s="23">
        <f>IF(SUM(C40:G40)=0," ",SUM(C40:G40))</f>
        <v>11366840</v>
      </c>
      <c r="M40" s="23">
        <f>IF(SUM(H40:I40)=0," ",SUM(H40:I40))</f>
        <v>6569572</v>
      </c>
      <c r="N40" s="11"/>
    </row>
    <row r="41" spans="2:14" ht="17.100000000000001" customHeight="1" x14ac:dyDescent="0.25">
      <c r="B41" s="19">
        <v>2</v>
      </c>
      <c r="C41" s="50"/>
      <c r="D41" s="50">
        <v>1593418</v>
      </c>
      <c r="E41" s="50">
        <v>647909</v>
      </c>
      <c r="F41" s="50"/>
      <c r="G41" s="50">
        <v>8920386</v>
      </c>
      <c r="H41" s="50"/>
      <c r="I41" s="50">
        <v>6393008</v>
      </c>
      <c r="J41" s="10"/>
      <c r="K41" s="20">
        <v>2</v>
      </c>
      <c r="L41" s="23">
        <f t="shared" ref="L41:L45" si="2">IF(SUM(C41:G41)=0," ",SUM(C41:G41))</f>
        <v>11161713</v>
      </c>
      <c r="M41" s="23">
        <f t="shared" ref="M41:M45" si="3">IF(SUM(H41:I41)=0," ",SUM(H41:I41))</f>
        <v>6393008</v>
      </c>
      <c r="N41" s="11"/>
    </row>
    <row r="42" spans="2:14" ht="17.100000000000001" customHeight="1" x14ac:dyDescent="0.25">
      <c r="B42" s="19">
        <v>3</v>
      </c>
      <c r="C42" s="50"/>
      <c r="D42" s="50">
        <v>1889116</v>
      </c>
      <c r="E42" s="50">
        <v>832485</v>
      </c>
      <c r="F42" s="50"/>
      <c r="G42" s="50">
        <v>8185004</v>
      </c>
      <c r="H42" s="50">
        <v>311211</v>
      </c>
      <c r="I42" s="50">
        <v>6078579</v>
      </c>
      <c r="J42" s="10"/>
      <c r="K42" s="20">
        <v>3</v>
      </c>
      <c r="L42" s="23">
        <f t="shared" si="2"/>
        <v>10906605</v>
      </c>
      <c r="M42" s="23">
        <f t="shared" si="3"/>
        <v>6389790</v>
      </c>
      <c r="N42" s="11"/>
    </row>
    <row r="43" spans="2:14" ht="17.100000000000001" customHeight="1" x14ac:dyDescent="0.25">
      <c r="B43" s="19">
        <v>4</v>
      </c>
      <c r="C43" s="50"/>
      <c r="D43" s="50">
        <v>1844536</v>
      </c>
      <c r="E43" s="50">
        <v>657880</v>
      </c>
      <c r="F43" s="50"/>
      <c r="G43" s="50">
        <v>8590607</v>
      </c>
      <c r="H43" s="50"/>
      <c r="I43" s="50">
        <v>6436842</v>
      </c>
      <c r="J43" s="10"/>
      <c r="K43" s="20">
        <v>4</v>
      </c>
      <c r="L43" s="23">
        <f t="shared" si="2"/>
        <v>11093023</v>
      </c>
      <c r="M43" s="23">
        <f t="shared" si="3"/>
        <v>6436842</v>
      </c>
      <c r="N43" s="11"/>
    </row>
    <row r="44" spans="2:14" ht="17.100000000000001" customHeight="1" x14ac:dyDescent="0.25">
      <c r="B44" s="19">
        <v>5</v>
      </c>
      <c r="C44" s="50"/>
      <c r="D44" s="50"/>
      <c r="E44" s="50"/>
      <c r="F44" s="50"/>
      <c r="G44" s="50"/>
      <c r="H44" s="50"/>
      <c r="I44" s="50"/>
      <c r="J44" s="10"/>
      <c r="K44" s="20">
        <v>5</v>
      </c>
      <c r="L44" s="23" t="str">
        <f t="shared" si="2"/>
        <v xml:space="preserve"> </v>
      </c>
      <c r="M44" s="23" t="str">
        <f t="shared" si="3"/>
        <v xml:space="preserve"> </v>
      </c>
      <c r="N44" s="11"/>
    </row>
    <row r="45" spans="2:14" ht="17.100000000000001" customHeight="1" x14ac:dyDescent="0.25">
      <c r="B45" s="19">
        <v>6</v>
      </c>
      <c r="C45" s="50"/>
      <c r="D45" s="50"/>
      <c r="E45" s="50"/>
      <c r="F45" s="50"/>
      <c r="G45" s="50"/>
      <c r="H45" s="50"/>
      <c r="I45" s="50"/>
      <c r="J45" s="10"/>
      <c r="K45" s="20">
        <v>6</v>
      </c>
      <c r="L45" s="23" t="str">
        <f t="shared" si="2"/>
        <v xml:space="preserve"> </v>
      </c>
      <c r="M45" s="23" t="str">
        <f t="shared" si="3"/>
        <v xml:space="preserve"> </v>
      </c>
      <c r="N45" s="11"/>
    </row>
    <row r="46" spans="2:14" ht="17.100000000000001" customHeight="1" x14ac:dyDescent="0.25">
      <c r="B46" s="9"/>
      <c r="C46" s="10"/>
      <c r="D46" s="10"/>
      <c r="E46" s="10"/>
      <c r="F46" s="10"/>
      <c r="G46" s="10"/>
      <c r="H46" s="10"/>
      <c r="I46" s="10"/>
      <c r="J46" s="10"/>
      <c r="K46" s="22" t="s">
        <v>0</v>
      </c>
      <c r="L46" s="44">
        <f>IF(COUNT(L28:L33,L40:L45)=0," ",AVERAGE(L28:L33,L40:L45))</f>
        <v>11333895</v>
      </c>
      <c r="M46" s="44">
        <f>IF(COUNT(M28:M33,M40:M45)=0," ",AVERAGE(M28:M33,M40:M45))</f>
        <v>6431312.5</v>
      </c>
      <c r="N46" s="11"/>
    </row>
    <row r="47" spans="2:14" ht="17.100000000000001" customHeight="1" x14ac:dyDescent="0.25">
      <c r="B47" s="9"/>
      <c r="C47" s="10"/>
      <c r="D47" s="10"/>
      <c r="E47" s="10"/>
      <c r="F47" s="10"/>
      <c r="G47" s="10"/>
      <c r="H47" s="10"/>
      <c r="I47" s="10"/>
      <c r="J47" s="10"/>
      <c r="K47" s="22" t="s">
        <v>1</v>
      </c>
      <c r="L47" s="45">
        <f>STDEV(L28:L33,L40:L45)</f>
        <v>279201.24649276031</v>
      </c>
      <c r="M47" s="45">
        <f>STDEV(M28:M33,M40:M45)</f>
        <v>122117.85548873132</v>
      </c>
      <c r="N47" s="11"/>
    </row>
    <row r="48" spans="2:14" ht="17.100000000000001" customHeight="1" x14ac:dyDescent="0.25">
      <c r="B48" s="9"/>
      <c r="C48" s="10"/>
      <c r="D48" s="10"/>
      <c r="E48" s="10"/>
      <c r="F48" s="10"/>
      <c r="G48" s="10"/>
      <c r="H48" s="10"/>
      <c r="I48" s="10"/>
      <c r="J48" s="10"/>
      <c r="K48" s="22" t="s">
        <v>2</v>
      </c>
      <c r="L48" s="45">
        <f>L47*100/L46</f>
        <v>2.4634183261161353</v>
      </c>
      <c r="M48" s="45">
        <f>M47*100/M46</f>
        <v>1.8988014575365655</v>
      </c>
      <c r="N48" s="11"/>
    </row>
    <row r="49" spans="2:14" ht="17.100000000000001" customHeight="1" x14ac:dyDescent="0.25"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</row>
    <row r="50" spans="2:14" ht="17.100000000000001" customHeight="1" x14ac:dyDescent="0.25">
      <c r="B50" s="55" t="s">
        <v>29</v>
      </c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7"/>
    </row>
    <row r="51" spans="2:14" ht="17.100000000000001" customHeight="1" x14ac:dyDescent="0.25">
      <c r="B51" s="25"/>
      <c r="C51" s="10"/>
      <c r="D51" s="10"/>
      <c r="E51" s="10"/>
      <c r="F51" s="26"/>
      <c r="G51" s="27"/>
      <c r="H51" s="10"/>
      <c r="I51" s="10"/>
      <c r="J51" s="10"/>
      <c r="K51" s="10"/>
      <c r="L51" s="10"/>
      <c r="M51" s="10"/>
      <c r="N51" s="11"/>
    </row>
    <row r="52" spans="2:14" ht="15.75" x14ac:dyDescent="0.25">
      <c r="B52" s="13" t="s">
        <v>15</v>
      </c>
      <c r="C52" s="14" t="s">
        <v>31</v>
      </c>
      <c r="D52" s="14" t="s">
        <v>14</v>
      </c>
      <c r="E52" s="14" t="s">
        <v>8</v>
      </c>
      <c r="F52" s="14" t="s">
        <v>9</v>
      </c>
      <c r="G52" s="14" t="s">
        <v>61</v>
      </c>
      <c r="H52" s="14" t="s">
        <v>4</v>
      </c>
      <c r="I52" s="14" t="s">
        <v>5</v>
      </c>
      <c r="J52" s="14" t="s">
        <v>4</v>
      </c>
      <c r="K52" s="10"/>
      <c r="L52" s="10"/>
      <c r="M52" s="10"/>
      <c r="N52" s="11"/>
    </row>
    <row r="53" spans="2:14" ht="54" customHeight="1" x14ac:dyDescent="0.25">
      <c r="B53" s="28" t="str">
        <f>C11</f>
        <v>ES20E019</v>
      </c>
      <c r="C53" s="29" t="str">
        <f>C12</f>
        <v>Initial</v>
      </c>
      <c r="D53" s="29" t="str">
        <f>C13</f>
        <v>5% Dextrose  (PVC Bag, 0.2mg/mL)</v>
      </c>
      <c r="E53" s="29" t="str">
        <f>C9</f>
        <v>NA</v>
      </c>
      <c r="F53" s="29" t="str">
        <f>C10</f>
        <v>NA</v>
      </c>
      <c r="G53" s="3">
        <v>10</v>
      </c>
      <c r="H53" s="51">
        <v>20</v>
      </c>
      <c r="I53" s="51">
        <v>1</v>
      </c>
      <c r="J53" s="51">
        <v>1</v>
      </c>
      <c r="K53" s="10"/>
      <c r="L53" s="10"/>
      <c r="M53" s="10"/>
      <c r="N53" s="11"/>
    </row>
    <row r="54" spans="2:14" ht="17.100000000000001" customHeight="1" x14ac:dyDescent="0.25">
      <c r="B54" s="30"/>
      <c r="C54" s="31"/>
      <c r="D54" s="31"/>
      <c r="E54" s="31"/>
      <c r="F54" s="31"/>
      <c r="G54" s="10"/>
      <c r="H54" s="32"/>
      <c r="I54" s="32"/>
      <c r="J54" s="32"/>
      <c r="K54" s="32"/>
      <c r="L54" s="10"/>
      <c r="M54" s="10"/>
      <c r="N54" s="11"/>
    </row>
    <row r="55" spans="2:14" ht="17.100000000000001" customHeight="1" x14ac:dyDescent="0.25">
      <c r="B55" s="17" t="s">
        <v>46</v>
      </c>
      <c r="C55" s="18" t="s">
        <v>40</v>
      </c>
      <c r="D55" s="18" t="s">
        <v>43</v>
      </c>
      <c r="E55" s="18" t="s">
        <v>44</v>
      </c>
      <c r="F55" s="18" t="s">
        <v>45</v>
      </c>
      <c r="G55" s="18" t="s">
        <v>52</v>
      </c>
      <c r="H55" s="18" t="s">
        <v>41</v>
      </c>
      <c r="I55" s="18" t="s">
        <v>42</v>
      </c>
      <c r="J55" s="10"/>
      <c r="K55" s="18" t="s">
        <v>46</v>
      </c>
      <c r="L55" s="18" t="s">
        <v>36</v>
      </c>
      <c r="M55" s="18" t="s">
        <v>37</v>
      </c>
      <c r="N55" s="11"/>
    </row>
    <row r="56" spans="2:14" ht="16.5" customHeight="1" x14ac:dyDescent="0.25">
      <c r="B56" s="13" t="s">
        <v>3</v>
      </c>
      <c r="C56" s="18" t="s">
        <v>7</v>
      </c>
      <c r="D56" s="18" t="s">
        <v>7</v>
      </c>
      <c r="E56" s="18" t="s">
        <v>7</v>
      </c>
      <c r="F56" s="18" t="s">
        <v>7</v>
      </c>
      <c r="G56" s="18" t="s">
        <v>7</v>
      </c>
      <c r="H56" s="18" t="s">
        <v>7</v>
      </c>
      <c r="I56" s="18" t="s">
        <v>7</v>
      </c>
      <c r="J56" s="10"/>
      <c r="K56" s="14" t="s">
        <v>3</v>
      </c>
      <c r="L56" s="18" t="s">
        <v>50</v>
      </c>
      <c r="M56" s="18" t="s">
        <v>50</v>
      </c>
      <c r="N56" s="11"/>
    </row>
    <row r="57" spans="2:14" ht="17.100000000000001" customHeight="1" x14ac:dyDescent="0.25">
      <c r="B57" s="19">
        <v>1</v>
      </c>
      <c r="C57" s="50"/>
      <c r="D57" s="50">
        <v>426014</v>
      </c>
      <c r="E57" s="50">
        <v>903320</v>
      </c>
      <c r="F57" s="50"/>
      <c r="G57" s="50">
        <v>1683234</v>
      </c>
      <c r="H57" s="50">
        <v>598217</v>
      </c>
      <c r="I57" s="50">
        <v>1469127</v>
      </c>
      <c r="J57" s="10"/>
      <c r="K57" s="20">
        <v>1</v>
      </c>
      <c r="L57" s="21">
        <f>IF(SUM(C57:G57)=0," ",SUM(C57:G57))</f>
        <v>3012568</v>
      </c>
      <c r="M57" s="21">
        <f>IF(SUM(H57:I57)=0," ",SUM(H57:I57))</f>
        <v>2067344</v>
      </c>
      <c r="N57" s="11"/>
    </row>
    <row r="58" spans="2:14" ht="17.100000000000001" customHeight="1" x14ac:dyDescent="0.25">
      <c r="B58" s="19">
        <v>2</v>
      </c>
      <c r="C58" s="50"/>
      <c r="D58" s="50"/>
      <c r="E58" s="50"/>
      <c r="F58" s="50"/>
      <c r="G58" s="50"/>
      <c r="H58" s="50"/>
      <c r="I58" s="50"/>
      <c r="J58" s="10"/>
      <c r="K58" s="20">
        <v>2</v>
      </c>
      <c r="L58" s="21" t="str">
        <f>IF(SUM(C58:G58)=0," ",SUM(C58:G58))</f>
        <v xml:space="preserve"> </v>
      </c>
      <c r="M58" s="21" t="str">
        <f>IF(SUM(H58:I58)=0," ",SUM(H58:I58))</f>
        <v xml:space="preserve"> </v>
      </c>
      <c r="N58" s="11"/>
    </row>
    <row r="59" spans="2:14" ht="17.100000000000001" customHeight="1" x14ac:dyDescent="0.25"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1"/>
    </row>
    <row r="60" spans="2:14" ht="17.100000000000001" customHeight="1" x14ac:dyDescent="0.25">
      <c r="B60" s="17" t="s">
        <v>46</v>
      </c>
      <c r="C60" s="33" t="s">
        <v>54</v>
      </c>
      <c r="D60" s="33" t="s">
        <v>55</v>
      </c>
      <c r="E60" s="33" t="s">
        <v>48</v>
      </c>
      <c r="F60" s="33" t="s">
        <v>49</v>
      </c>
      <c r="G60" s="10"/>
      <c r="H60" s="10"/>
      <c r="I60" s="10"/>
      <c r="J60" s="10"/>
      <c r="K60" s="10"/>
      <c r="L60" s="10"/>
      <c r="M60" s="10"/>
      <c r="N60" s="11"/>
    </row>
    <row r="61" spans="2:14" ht="17.100000000000001" customHeight="1" x14ac:dyDescent="0.25">
      <c r="B61" s="19">
        <v>1</v>
      </c>
      <c r="C61" s="53">
        <f>L57/L34*C23/D23*E23/F23*G23/H23*H53/G53*J53/I53*I23/100</f>
        <v>3.6136878574047612E-2</v>
      </c>
      <c r="D61" s="53">
        <f>M57/M34*C24/D24*E24/F24*J53/I53*H53/G53*G24/H24*I24/100</f>
        <v>2.2306660749294396E-2</v>
      </c>
      <c r="E61" s="53">
        <f>C61*100/J23</f>
        <v>3.6136878574047611</v>
      </c>
      <c r="F61" s="53">
        <f>D61*100/J24</f>
        <v>2.2306660749294398</v>
      </c>
      <c r="G61" s="10"/>
      <c r="H61" s="10"/>
      <c r="I61" s="10"/>
      <c r="J61" s="10"/>
      <c r="K61" s="10"/>
      <c r="L61" s="10"/>
      <c r="M61" s="10"/>
      <c r="N61" s="11"/>
    </row>
    <row r="62" spans="2:14" ht="17.100000000000001" customHeight="1" x14ac:dyDescent="0.25">
      <c r="B62" s="19">
        <v>2</v>
      </c>
      <c r="C62" s="34" t="e">
        <f>L58/L34*C23/D23*E23/F23*G23/H23*J53/I53*H53/G53*I23/100</f>
        <v>#VALUE!</v>
      </c>
      <c r="D62" s="34" t="e">
        <f>M58/M34*C24/D24*E24/F24*J53/I53*H53/G53*G24/H24*I24/100</f>
        <v>#VALUE!</v>
      </c>
      <c r="E62" s="34" t="e">
        <f>C62*100/J23</f>
        <v>#VALUE!</v>
      </c>
      <c r="F62" s="35" t="e">
        <f>D62*100/J24</f>
        <v>#VALUE!</v>
      </c>
      <c r="G62" s="10"/>
      <c r="H62" s="10"/>
      <c r="I62" s="10"/>
      <c r="J62" s="10"/>
      <c r="K62" s="10"/>
      <c r="L62" s="10"/>
      <c r="M62" s="10"/>
      <c r="N62" s="11"/>
    </row>
    <row r="63" spans="2:14" ht="17.100000000000001" customHeight="1" x14ac:dyDescent="0.25">
      <c r="B63" s="36" t="s">
        <v>47</v>
      </c>
      <c r="C63" s="37" t="e">
        <f>(C61+C62)/2</f>
        <v>#VALUE!</v>
      </c>
      <c r="D63" s="37" t="e">
        <f>(D61+D62)/2</f>
        <v>#VALUE!</v>
      </c>
      <c r="E63" s="38" t="e">
        <f>(E61+E62)/2</f>
        <v>#VALUE!</v>
      </c>
      <c r="F63" s="38" t="e">
        <f>(F61+F62)/2</f>
        <v>#VALUE!</v>
      </c>
      <c r="G63" s="10"/>
      <c r="H63" s="10"/>
      <c r="I63" s="10"/>
      <c r="J63" s="10"/>
      <c r="K63" s="10"/>
      <c r="L63" s="10"/>
      <c r="M63" s="10"/>
      <c r="N63" s="11"/>
    </row>
    <row r="64" spans="2:14" ht="17.100000000000001" customHeight="1" x14ac:dyDescent="0.25">
      <c r="B64" s="9"/>
      <c r="C64" s="10"/>
      <c r="D64" s="10"/>
      <c r="E64" s="10"/>
      <c r="F64" s="10"/>
      <c r="G64" s="10"/>
      <c r="H64" s="52"/>
      <c r="I64" s="10"/>
      <c r="J64" s="10"/>
      <c r="K64" s="10"/>
      <c r="L64" s="10"/>
      <c r="M64" s="10"/>
      <c r="N64" s="11"/>
    </row>
    <row r="65" spans="2:14" ht="17.100000000000001" customHeight="1" x14ac:dyDescent="0.25">
      <c r="B65" s="39" t="s">
        <v>13</v>
      </c>
      <c r="C65" s="50"/>
      <c r="D65" s="10"/>
      <c r="E65" s="52"/>
      <c r="F65" s="52"/>
      <c r="G65" s="10"/>
      <c r="H65" s="52"/>
      <c r="I65" s="10"/>
      <c r="J65" s="10"/>
      <c r="K65" s="58" t="s">
        <v>12</v>
      </c>
      <c r="L65" s="59"/>
      <c r="M65" s="60"/>
      <c r="N65" s="61"/>
    </row>
    <row r="66" spans="2:14" ht="17.100000000000001" customHeight="1" x14ac:dyDescent="0.25">
      <c r="B66" s="39" t="s">
        <v>11</v>
      </c>
      <c r="C66" s="47"/>
      <c r="D66" s="10"/>
      <c r="E66" s="52"/>
      <c r="F66" s="52"/>
      <c r="G66" s="10"/>
      <c r="H66" s="52"/>
      <c r="I66" s="10"/>
      <c r="J66" s="10"/>
      <c r="K66" s="58" t="s">
        <v>11</v>
      </c>
      <c r="L66" s="59"/>
      <c r="M66" s="60"/>
      <c r="N66" s="61"/>
    </row>
    <row r="67" spans="2:14" ht="17.100000000000001" customHeight="1" thickBot="1" x14ac:dyDescent="0.3">
      <c r="B67" s="40"/>
      <c r="C67" s="41"/>
      <c r="D67" s="41"/>
      <c r="E67" s="41"/>
      <c r="F67" s="41"/>
      <c r="G67" s="41"/>
      <c r="H67" s="41"/>
      <c r="I67" s="41"/>
      <c r="J67" s="41"/>
      <c r="K67" s="41"/>
      <c r="L67" s="46"/>
      <c r="M67" s="46"/>
      <c r="N67" s="42"/>
    </row>
  </sheetData>
  <mergeCells count="24">
    <mergeCell ref="C7:N7"/>
    <mergeCell ref="B2:N2"/>
    <mergeCell ref="B3:N3"/>
    <mergeCell ref="B4:N4"/>
    <mergeCell ref="B5:N5"/>
    <mergeCell ref="C6:N6"/>
    <mergeCell ref="B20:N20"/>
    <mergeCell ref="C8:N8"/>
    <mergeCell ref="C9:N9"/>
    <mergeCell ref="C10:N10"/>
    <mergeCell ref="C11:N11"/>
    <mergeCell ref="C12:N12"/>
    <mergeCell ref="C13:N13"/>
    <mergeCell ref="C14:N14"/>
    <mergeCell ref="C15:N15"/>
    <mergeCell ref="C16:N16"/>
    <mergeCell ref="C17:N17"/>
    <mergeCell ref="C18:N18"/>
    <mergeCell ref="K37:M37"/>
    <mergeCell ref="B50:N50"/>
    <mergeCell ref="K65:L65"/>
    <mergeCell ref="M65:N65"/>
    <mergeCell ref="K66:L66"/>
    <mergeCell ref="M66:N66"/>
  </mergeCells>
  <pageMargins left="0.11811023622047245" right="0.11811023622047245" top="0.39370078740157483" bottom="0.39370078740157483" header="0" footer="0.31496062992125984"/>
  <pageSetup paperSize="9" scale="48" fitToHeight="0" orientation="portrait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2026-06-24T05:20:27Z</dcterms:modified>
</cp:coreProperties>
</file>