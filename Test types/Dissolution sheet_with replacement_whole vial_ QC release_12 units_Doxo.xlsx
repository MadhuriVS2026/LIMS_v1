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10007977\Desktop\Calculation sheet_AD_NDDS\"/>
    </mc:Choice>
  </mc:AlternateContent>
  <bookViews>
    <workbookView xWindow="0" yWindow="0" windowWidth="28800" windowHeight="12180"/>
  </bookViews>
  <sheets>
    <sheet name="1" sheetId="4" r:id="rId1"/>
  </sheets>
  <externalReferences>
    <externalReference r:id="rId2"/>
  </externalReferences>
  <definedNames>
    <definedName name="_xlnm.Print_Area" localSheetId="0">'1'!$A$1:$R$78</definedName>
    <definedName name="print1">[1]formu!$A$2:$P$21</definedName>
    <definedName name="print2">[1]formu!$A$23:$P$42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3" i="4" l="1"/>
  <c r="D43" i="4"/>
  <c r="A71" i="4"/>
  <c r="A70" i="4"/>
  <c r="A69" i="4"/>
  <c r="A68" i="4"/>
  <c r="A59" i="4"/>
  <c r="A67" i="4" s="1"/>
  <c r="A58" i="4"/>
  <c r="A66" i="4" s="1"/>
  <c r="M46" i="4"/>
  <c r="M58" i="4" s="1"/>
  <c r="M66" i="4" s="1"/>
  <c r="L46" i="4"/>
  <c r="L58" i="4" s="1"/>
  <c r="L66" i="4" s="1"/>
  <c r="K46" i="4"/>
  <c r="K58" i="4" s="1"/>
  <c r="K66" i="4" s="1"/>
  <c r="J46" i="4"/>
  <c r="J58" i="4" s="1"/>
  <c r="J66" i="4" s="1"/>
  <c r="I46" i="4"/>
  <c r="I58" i="4" s="1"/>
  <c r="I66" i="4" s="1"/>
  <c r="H46" i="4"/>
  <c r="H58" i="4" s="1"/>
  <c r="H66" i="4" s="1"/>
  <c r="G46" i="4"/>
  <c r="G58" i="4" s="1"/>
  <c r="G66" i="4" s="1"/>
  <c r="F46" i="4"/>
  <c r="F58" i="4" s="1"/>
  <c r="F66" i="4" s="1"/>
  <c r="E46" i="4"/>
  <c r="E58" i="4" s="1"/>
  <c r="E66" i="4" s="1"/>
  <c r="D46" i="4"/>
  <c r="D58" i="4" s="1"/>
  <c r="D66" i="4" s="1"/>
  <c r="C46" i="4"/>
  <c r="C58" i="4" s="1"/>
  <c r="C66" i="4" s="1"/>
  <c r="B46" i="4"/>
  <c r="B58" i="4" s="1"/>
  <c r="B66" i="4" s="1"/>
  <c r="M43" i="4"/>
  <c r="L43" i="4"/>
  <c r="K43" i="4"/>
  <c r="J43" i="4"/>
  <c r="I43" i="4"/>
  <c r="H43" i="4"/>
  <c r="G43" i="4"/>
  <c r="E43" i="4"/>
  <c r="C43" i="4"/>
  <c r="B43" i="4"/>
  <c r="P24" i="4"/>
  <c r="O23" i="4"/>
  <c r="O22" i="4"/>
  <c r="O21" i="4"/>
  <c r="O20" i="4"/>
  <c r="O19" i="4"/>
  <c r="L19" i="4"/>
  <c r="H19" i="4"/>
  <c r="I19" i="4" s="1"/>
  <c r="O32" i="4" s="1"/>
  <c r="H16" i="4"/>
  <c r="R13" i="4"/>
  <c r="O24" i="4" l="1"/>
  <c r="P25" i="4"/>
  <c r="P43" i="4"/>
  <c r="O43" i="4"/>
  <c r="H59" i="4"/>
  <c r="H67" i="4" s="1"/>
  <c r="N43" i="4"/>
  <c r="I59" i="4"/>
  <c r="I67" i="4" s="1"/>
  <c r="J59" i="4"/>
  <c r="J67" i="4" s="1"/>
  <c r="E59" i="4"/>
  <c r="E67" i="4" s="1"/>
  <c r="K59" i="4"/>
  <c r="K67" i="4" s="1"/>
  <c r="I16" i="4"/>
  <c r="O31" i="4" s="1"/>
  <c r="G59" i="4"/>
  <c r="G67" i="4" s="1"/>
  <c r="L59" i="4"/>
  <c r="L67" i="4" s="1"/>
  <c r="M59" i="4"/>
  <c r="M67" i="4" s="1"/>
  <c r="B59" i="4"/>
  <c r="F59" i="4"/>
  <c r="F67" i="4" s="1"/>
  <c r="C59" i="4"/>
  <c r="C67" i="4" s="1"/>
  <c r="D59" i="4"/>
  <c r="D67" i="4" s="1"/>
  <c r="G60" i="4" l="1"/>
  <c r="G68" i="4" s="1"/>
  <c r="K60" i="4"/>
  <c r="K68" i="4" s="1"/>
  <c r="I60" i="4"/>
  <c r="I68" i="4" s="1"/>
  <c r="E60" i="4"/>
  <c r="E68" i="4" s="1"/>
  <c r="F60" i="4"/>
  <c r="O59" i="4"/>
  <c r="N59" i="4"/>
  <c r="R59" i="4"/>
  <c r="Q59" i="4"/>
  <c r="B67" i="4"/>
  <c r="D60" i="4"/>
  <c r="B60" i="4"/>
  <c r="M60" i="4"/>
  <c r="H60" i="4"/>
  <c r="J60" i="4"/>
  <c r="L60" i="4"/>
  <c r="C60" i="4"/>
  <c r="G61" i="4" l="1"/>
  <c r="G69" i="4" s="1"/>
  <c r="K61" i="4"/>
  <c r="K69" i="4" s="1"/>
  <c r="I61" i="4"/>
  <c r="I69" i="4" s="1"/>
  <c r="E61" i="4"/>
  <c r="E69" i="4" s="1"/>
  <c r="F68" i="4"/>
  <c r="F61" i="4"/>
  <c r="P59" i="4"/>
  <c r="N60" i="4"/>
  <c r="B68" i="4"/>
  <c r="R60" i="4"/>
  <c r="Q60" i="4"/>
  <c r="O60" i="4"/>
  <c r="B61" i="4"/>
  <c r="C68" i="4"/>
  <c r="C61" i="4"/>
  <c r="M68" i="4"/>
  <c r="M61" i="4"/>
  <c r="D68" i="4"/>
  <c r="D61" i="4"/>
  <c r="L68" i="4"/>
  <c r="L61" i="4"/>
  <c r="O67" i="4"/>
  <c r="N67" i="4"/>
  <c r="R67" i="4"/>
  <c r="Q67" i="4"/>
  <c r="J68" i="4"/>
  <c r="J61" i="4"/>
  <c r="H68" i="4"/>
  <c r="H61" i="4"/>
  <c r="G62" i="4" l="1"/>
  <c r="G70" i="4" s="1"/>
  <c r="K62" i="4"/>
  <c r="K70" i="4" s="1"/>
  <c r="I62" i="4"/>
  <c r="I70" i="4" s="1"/>
  <c r="E62" i="4"/>
  <c r="E70" i="4" s="1"/>
  <c r="F69" i="4"/>
  <c r="F62" i="4"/>
  <c r="P60" i="4"/>
  <c r="R61" i="4"/>
  <c r="Q61" i="4"/>
  <c r="N61" i="4"/>
  <c r="O61" i="4"/>
  <c r="B69" i="4"/>
  <c r="B62" i="4"/>
  <c r="M69" i="4"/>
  <c r="M62" i="4"/>
  <c r="H69" i="4"/>
  <c r="H62" i="4"/>
  <c r="C69" i="4"/>
  <c r="C62" i="4"/>
  <c r="L69" i="4"/>
  <c r="L62" i="4"/>
  <c r="D69" i="4"/>
  <c r="D62" i="4"/>
  <c r="R68" i="4"/>
  <c r="Q68" i="4"/>
  <c r="O68" i="4"/>
  <c r="N68" i="4"/>
  <c r="P67" i="4"/>
  <c r="J69" i="4"/>
  <c r="J62" i="4"/>
  <c r="G63" i="4" l="1"/>
  <c r="G71" i="4" s="1"/>
  <c r="K63" i="4"/>
  <c r="K71" i="4" s="1"/>
  <c r="I63" i="4"/>
  <c r="I71" i="4" s="1"/>
  <c r="E63" i="4"/>
  <c r="E71" i="4" s="1"/>
  <c r="F70" i="4"/>
  <c r="F63" i="4"/>
  <c r="F71" i="4" s="1"/>
  <c r="P61" i="4"/>
  <c r="P68" i="4"/>
  <c r="L70" i="4"/>
  <c r="L63" i="4"/>
  <c r="L71" i="4" s="1"/>
  <c r="D70" i="4"/>
  <c r="D63" i="4"/>
  <c r="D71" i="4" s="1"/>
  <c r="J70" i="4"/>
  <c r="J63" i="4"/>
  <c r="J71" i="4" s="1"/>
  <c r="B70" i="4"/>
  <c r="O62" i="4"/>
  <c r="N62" i="4"/>
  <c r="R62" i="4"/>
  <c r="Q62" i="4"/>
  <c r="B63" i="4"/>
  <c r="C70" i="4"/>
  <c r="C63" i="4"/>
  <c r="C71" i="4" s="1"/>
  <c r="H70" i="4"/>
  <c r="H63" i="4"/>
  <c r="H71" i="4" s="1"/>
  <c r="M70" i="4"/>
  <c r="M63" i="4"/>
  <c r="M71" i="4" s="1"/>
  <c r="O69" i="4"/>
  <c r="N69" i="4"/>
  <c r="R69" i="4"/>
  <c r="Q69" i="4"/>
  <c r="P62" i="4" l="1"/>
  <c r="P69" i="4"/>
  <c r="R70" i="4"/>
  <c r="Q70" i="4"/>
  <c r="O70" i="4"/>
  <c r="N70" i="4"/>
  <c r="R63" i="4"/>
  <c r="Q63" i="4"/>
  <c r="B71" i="4"/>
  <c r="O63" i="4"/>
  <c r="N63" i="4"/>
  <c r="P63" i="4" l="1"/>
  <c r="O71" i="4"/>
  <c r="N71" i="4"/>
  <c r="R71" i="4"/>
  <c r="Q71" i="4"/>
  <c r="P70" i="4"/>
  <c r="P71" i="4" l="1"/>
</calcChain>
</file>

<file path=xl/sharedStrings.xml><?xml version="1.0" encoding="utf-8"?>
<sst xmlns="http://schemas.openxmlformats.org/spreadsheetml/2006/main" count="156" uniqueCount="143">
  <si>
    <t>Apparatus</t>
  </si>
  <si>
    <t>PRODUCT</t>
  </si>
  <si>
    <t>RPM</t>
  </si>
  <si>
    <t>Withdrawal Volume (mL)</t>
  </si>
  <si>
    <t>LNB No.</t>
  </si>
  <si>
    <t>TEST PERFORMED</t>
  </si>
  <si>
    <t>STANDARD PREPARATION</t>
  </si>
  <si>
    <t>Doxorubicin HCl WS</t>
  </si>
  <si>
    <t xml:space="preserve">Wt. in mg </t>
  </si>
  <si>
    <t xml:space="preserve">Dilutions </t>
  </si>
  <si>
    <t>mg</t>
  </si>
  <si>
    <t>ml (Water)</t>
  </si>
  <si>
    <t>ml</t>
  </si>
  <si>
    <t>ml (MeOH)</t>
  </si>
  <si>
    <t>Injections</t>
  </si>
  <si>
    <t>SD</t>
  </si>
  <si>
    <t>RSD</t>
  </si>
  <si>
    <t xml:space="preserve">Area </t>
  </si>
  <si>
    <t>System Suitability Criteria</t>
  </si>
  <si>
    <t>Observation</t>
  </si>
  <si>
    <t>Time Interval (Hours)</t>
  </si>
  <si>
    <t>% Content of Doxorubicin Hydrochloride</t>
  </si>
  <si>
    <t>%RSD</t>
  </si>
  <si>
    <t>Min.</t>
  </si>
  <si>
    <t>Max.</t>
  </si>
  <si>
    <t>ml (Media)</t>
  </si>
  <si>
    <t>Inj-1</t>
  </si>
  <si>
    <t>Inj-2</t>
  </si>
  <si>
    <t>Inj-3</t>
  </si>
  <si>
    <t>Inj-4</t>
  </si>
  <si>
    <t>Inj-5</t>
  </si>
  <si>
    <t>Mean</t>
  </si>
  <si>
    <t>BKT-1</t>
  </si>
  <si>
    <t>BKT-2</t>
  </si>
  <si>
    <t>BKT-3</t>
  </si>
  <si>
    <t>BKT-4</t>
  </si>
  <si>
    <t>BKT-5</t>
  </si>
  <si>
    <t>BKT-6</t>
  </si>
  <si>
    <t>BKT-7</t>
  </si>
  <si>
    <t>BKT-8</t>
  </si>
  <si>
    <t>BKT-9</t>
  </si>
  <si>
    <t>BKT-10</t>
  </si>
  <si>
    <t>BKT-11</t>
  </si>
  <si>
    <t>BKT-12</t>
  </si>
  <si>
    <t>BKT-13</t>
  </si>
  <si>
    <t>BKT-14</t>
  </si>
  <si>
    <t>BKT-15</t>
  </si>
  <si>
    <t>BKT-16</t>
  </si>
  <si>
    <t>BKT-17</t>
  </si>
  <si>
    <t>BKT-18</t>
  </si>
  <si>
    <t>BKT-19</t>
  </si>
  <si>
    <t>BKT-20</t>
  </si>
  <si>
    <t>BKT-21</t>
  </si>
  <si>
    <t>BKT-22</t>
  </si>
  <si>
    <t>BKT-23</t>
  </si>
  <si>
    <t>BKT-24</t>
  </si>
  <si>
    <t>Bracketing Std 
(Area)</t>
  </si>
  <si>
    <t>Area of standard Injections</t>
  </si>
  <si>
    <t>Wt./mL</t>
  </si>
  <si>
    <t>Medium Volume
 (mL)</t>
  </si>
  <si>
    <t>Total volume
 (mL)</t>
  </si>
  <si>
    <t>Aliquot Volume
 (mL)</t>
  </si>
  <si>
    <t>Dilution Volume
 (mL)</t>
  </si>
  <si>
    <t xml:space="preserve">ml  </t>
  </si>
  <si>
    <t>Concen. (ppm)</t>
  </si>
  <si>
    <t xml:space="preserve">%Potency </t>
  </si>
  <si>
    <t>REMARKS :  15 gm Dowex 50 WX4</t>
  </si>
  <si>
    <t>% Assay</t>
  </si>
  <si>
    <t>Test Preparation</t>
  </si>
  <si>
    <t>Batch No.</t>
  </si>
  <si>
    <t>DATE OF ANALYSIS</t>
  </si>
  <si>
    <t>Disso Media</t>
  </si>
  <si>
    <t>Replenishment Volume (mL)</t>
  </si>
  <si>
    <r>
      <t xml:space="preserve">LABEL CLAIM (mg/mL)      </t>
    </r>
    <r>
      <rPr>
        <sz val="16"/>
        <color theme="1"/>
        <rFont val="Calibri"/>
        <family val="2"/>
        <scheme val="minor"/>
      </rPr>
      <t>:</t>
    </r>
  </si>
  <si>
    <r>
      <t>Temp</t>
    </r>
    <r>
      <rPr>
        <b/>
        <vertAlign val="superscript"/>
        <sz val="16"/>
        <rFont val="Arial"/>
        <family val="2"/>
      </rPr>
      <t xml:space="preserve">re </t>
    </r>
    <r>
      <rPr>
        <b/>
        <sz val="16"/>
        <rFont val="Arial"/>
        <family val="2"/>
      </rPr>
      <t>(°C)</t>
    </r>
  </si>
  <si>
    <t>STRENGTH</t>
  </si>
  <si>
    <t>Page 1 of 2</t>
  </si>
  <si>
    <t>Continue on Next page</t>
  </si>
  <si>
    <t>Page 2 of 2</t>
  </si>
  <si>
    <t>% Release of Doxorubicin Hydrochloride</t>
  </si>
  <si>
    <t>Parameter</t>
  </si>
  <si>
    <t>SAMPLE AREA</t>
  </si>
  <si>
    <t>SAMPLE WEIGHT</t>
  </si>
  <si>
    <t>Min</t>
  </si>
  <si>
    <t>Max</t>
  </si>
  <si>
    <t>Filled Wt. (g)</t>
  </si>
  <si>
    <t>Empty Wt. (g)</t>
  </si>
  <si>
    <t>Net Wt. (g)</t>
  </si>
  <si>
    <t>DISSO ID</t>
  </si>
  <si>
    <t>HPLC ID</t>
  </si>
  <si>
    <t>Column ID</t>
  </si>
  <si>
    <t>Dissolution (USP Type II Apparatus)</t>
  </si>
  <si>
    <t>TRF No.</t>
  </si>
  <si>
    <t>A.R. No.</t>
  </si>
  <si>
    <t>Doxorubicin Hydrochloride Liposome Injection 2mg/mL</t>
  </si>
  <si>
    <t>20mg/10mL</t>
  </si>
  <si>
    <r>
      <rPr>
        <b/>
        <sz val="16"/>
        <rFont val="Arial"/>
        <family val="2"/>
      </rPr>
      <t>1.</t>
    </r>
    <r>
      <rPr>
        <sz val="16"/>
        <rFont val="Arial"/>
        <family val="2"/>
      </rPr>
      <t xml:space="preserve"> No interference peak from the Blank solution should be observed at the retention time of peak due to Doxorubicin in Test solution.</t>
    </r>
  </si>
  <si>
    <r>
      <rPr>
        <b/>
        <sz val="16"/>
        <rFont val="Arial"/>
        <family val="2"/>
      </rPr>
      <t>3.</t>
    </r>
    <r>
      <rPr>
        <sz val="16"/>
        <rFont val="Arial"/>
        <family val="2"/>
      </rPr>
      <t xml:space="preserve"> Theoretical plates for peak due to Doxorubicin in 5th injection of Standard solution should be not less than 2000.</t>
    </r>
  </si>
  <si>
    <r>
      <rPr>
        <b/>
        <sz val="16"/>
        <rFont val="Arial"/>
        <family val="2"/>
      </rPr>
      <t xml:space="preserve">2. </t>
    </r>
    <r>
      <rPr>
        <sz val="16"/>
        <rFont val="Arial"/>
        <family val="2"/>
      </rPr>
      <t>The Tailing factor for peak due to Doxorubicin in 5th injection of Standard solution should be not more than 2.0</t>
    </r>
  </si>
  <si>
    <r>
      <rPr>
        <b/>
        <sz val="16"/>
        <rFont val="Arial"/>
        <family val="2"/>
      </rPr>
      <t>4.</t>
    </r>
    <r>
      <rPr>
        <sz val="16"/>
        <rFont val="Arial"/>
        <family val="2"/>
      </rPr>
      <t xml:space="preserve"> % RSD of the peak area of Doxorubicin from five replicate injections of Standard solution should be not more than 2.0.</t>
    </r>
  </si>
  <si>
    <r>
      <rPr>
        <b/>
        <sz val="16"/>
        <rFont val="Arial"/>
        <family val="2"/>
      </rPr>
      <t>5.</t>
    </r>
    <r>
      <rPr>
        <sz val="16"/>
        <rFont val="Arial"/>
        <family val="2"/>
      </rPr>
      <t xml:space="preserve"> The %RSD of the peak area of Doxorubicin from Bracketing standards and replicate injections of Standard solution should be not more than 2.0.</t>
    </r>
  </si>
  <si>
    <t>Sample Volume</t>
  </si>
  <si>
    <t>0.05M Potassium dihydrogen phosphate (pH 6.5)</t>
  </si>
  <si>
    <t>NA</t>
  </si>
  <si>
    <t>0.05M Phosphate buffer pH 6.5</t>
  </si>
  <si>
    <t>USP Type II (Paddle)</t>
  </si>
  <si>
    <t>52°C</t>
  </si>
  <si>
    <t xml:space="preserve">Complies </t>
  </si>
  <si>
    <t>Weight</t>
  </si>
  <si>
    <t xml:space="preserve"> STD -1</t>
  </si>
  <si>
    <t xml:space="preserve"> STD -2</t>
  </si>
  <si>
    <t>Injection</t>
  </si>
  <si>
    <t>Area</t>
  </si>
  <si>
    <t>STD-1</t>
  </si>
  <si>
    <t>STD-2</t>
  </si>
  <si>
    <t>STD Co-Relation</t>
  </si>
  <si>
    <t>Analyzed by</t>
  </si>
  <si>
    <t>Checked by</t>
  </si>
  <si>
    <t xml:space="preserve"> </t>
  </si>
  <si>
    <t>Spec Limit</t>
  </si>
  <si>
    <t>NMT 25%</t>
  </si>
  <si>
    <t>10-35</t>
  </si>
  <si>
    <t>25-55</t>
  </si>
  <si>
    <t>NLT 80%</t>
  </si>
  <si>
    <t>55-90</t>
  </si>
  <si>
    <t xml:space="preserve"> 20 Apr 2026</t>
  </si>
  <si>
    <t>AD/TDT/009</t>
  </si>
  <si>
    <t>EP20_218-004</t>
  </si>
  <si>
    <t>Emcure Pharmaceuticals Limited - R &amp; D (Ahmedabad)</t>
  </si>
  <si>
    <t>Unite-1</t>
  </si>
  <si>
    <t>Unite-2</t>
  </si>
  <si>
    <t>Unite-3</t>
  </si>
  <si>
    <t>Unite-4</t>
  </si>
  <si>
    <t>Unite-5</t>
  </si>
  <si>
    <t>Unite-6</t>
  </si>
  <si>
    <t>Unite-7</t>
  </si>
  <si>
    <t>Unite-8</t>
  </si>
  <si>
    <t>Unite-9</t>
  </si>
  <si>
    <t>Unite-10</t>
  </si>
  <si>
    <t>Unite-11</t>
  </si>
  <si>
    <t>Unite-12</t>
  </si>
  <si>
    <t>AD/HPLC/075</t>
  </si>
  <si>
    <t>AD/NLC/0184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</si>
</sst>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"/>
    <numFmt numFmtId="166" formatCode="0.00000"/>
    <numFmt numFmtId="167" formatCode="0.000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b/>
      <sz val="3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6"/>
      <color theme="1"/>
      <name val="Calibri"/>
      <family val="2"/>
      <scheme val="minor"/>
    </font>
    <font>
      <b/>
      <vertAlign val="superscript"/>
      <sz val="16"/>
      <name val="Arial"/>
      <family val="2"/>
    </font>
    <font>
      <sz val="16"/>
      <color theme="1"/>
      <name val="Arial"/>
      <family val="2"/>
    </font>
    <font>
      <b/>
      <sz val="25"/>
      <name val="Arial"/>
      <family val="2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5C7F9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81">
    <xf numFmtId="0" fontId="0" fillId="0" borderId="0" xfId="0"/>
    <xf numFmtId="0" fontId="1" fillId="0" borderId="0" xfId="1" applyFont="1" applyAlignment="1">
      <alignment vertical="center"/>
    </xf>
    <xf numFmtId="0" fontId="1" fillId="2" borderId="0" xfId="1" applyFont="1" applyFill="1" applyBorder="1" applyAlignment="1">
      <alignment vertical="center"/>
    </xf>
    <xf numFmtId="0" fontId="1" fillId="2" borderId="0" xfId="1" applyFont="1" applyFill="1" applyAlignment="1">
      <alignment vertical="center"/>
    </xf>
    <xf numFmtId="0" fontId="1" fillId="0" borderId="0" xfId="1" applyFont="1" applyBorder="1" applyAlignment="1">
      <alignment vertical="center"/>
    </xf>
    <xf numFmtId="164" fontId="1" fillId="0" borderId="0" xfId="1" applyNumberFormat="1" applyFont="1" applyBorder="1" applyAlignment="1">
      <alignment vertical="center"/>
    </xf>
    <xf numFmtId="0" fontId="1" fillId="0" borderId="0" xfId="1" applyFont="1" applyFill="1" applyBorder="1" applyAlignment="1">
      <alignment horizontal="left" vertical="center"/>
    </xf>
    <xf numFmtId="164" fontId="1" fillId="0" borderId="0" xfId="1" applyNumberFormat="1" applyFont="1" applyBorder="1" applyAlignment="1">
      <alignment horizontal="center" vertical="center"/>
    </xf>
    <xf numFmtId="0" fontId="5" fillId="0" borderId="0" xfId="1" applyFont="1" applyAlignment="1">
      <alignment horizontal="justify"/>
    </xf>
    <xf numFmtId="0" fontId="1" fillId="0" borderId="0" xfId="1"/>
    <xf numFmtId="0" fontId="6" fillId="0" borderId="0" xfId="1" applyFont="1" applyAlignment="1">
      <alignment horizontal="justify"/>
    </xf>
    <xf numFmtId="0" fontId="7" fillId="0" borderId="0" xfId="1" applyFont="1" applyAlignment="1">
      <alignment wrapText="1"/>
    </xf>
    <xf numFmtId="0" fontId="8" fillId="0" borderId="0" xfId="1" applyFont="1" applyAlignment="1">
      <alignment vertical="top" wrapText="1"/>
    </xf>
    <xf numFmtId="0" fontId="7" fillId="0" borderId="0" xfId="1" applyFont="1" applyAlignment="1">
      <alignment horizontal="justify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horizontal="center" wrapText="1"/>
    </xf>
    <xf numFmtId="0" fontId="10" fillId="2" borderId="0" xfId="1" applyFont="1" applyFill="1" applyBorder="1" applyAlignment="1" applyProtection="1">
      <alignment vertical="center"/>
    </xf>
    <xf numFmtId="0" fontId="10" fillId="2" borderId="2" xfId="1" applyFont="1" applyFill="1" applyBorder="1" applyAlignment="1" applyProtection="1">
      <alignment vertical="center"/>
    </xf>
    <xf numFmtId="0" fontId="10" fillId="0" borderId="0" xfId="1" applyFont="1" applyBorder="1" applyAlignment="1" applyProtection="1">
      <alignment vertical="center"/>
    </xf>
    <xf numFmtId="0" fontId="10" fillId="2" borderId="1" xfId="1" applyFont="1" applyFill="1" applyBorder="1" applyAlignment="1" applyProtection="1">
      <alignment vertical="center"/>
    </xf>
    <xf numFmtId="0" fontId="10" fillId="2" borderId="0" xfId="1" applyFont="1" applyFill="1" applyBorder="1" applyAlignment="1" applyProtection="1">
      <alignment horizontal="center" vertical="center"/>
    </xf>
    <xf numFmtId="1" fontId="10" fillId="2" borderId="0" xfId="1" applyNumberFormat="1" applyFont="1" applyFill="1" applyBorder="1" applyAlignment="1" applyProtection="1">
      <alignment horizontal="center" vertical="center"/>
    </xf>
    <xf numFmtId="0" fontId="1" fillId="2" borderId="0" xfId="1" applyFont="1" applyFill="1" applyBorder="1" applyAlignment="1" applyProtection="1">
      <alignment vertical="center"/>
    </xf>
    <xf numFmtId="0" fontId="9" fillId="2" borderId="1" xfId="1" applyFont="1" applyFill="1" applyBorder="1" applyAlignment="1" applyProtection="1">
      <alignment horizontal="center" vertical="center"/>
    </xf>
    <xf numFmtId="1" fontId="9" fillId="2" borderId="0" xfId="1" applyNumberFormat="1" applyFont="1" applyFill="1" applyBorder="1" applyAlignment="1" applyProtection="1">
      <alignment vertical="center"/>
    </xf>
    <xf numFmtId="165" fontId="9" fillId="2" borderId="0" xfId="1" applyNumberFormat="1" applyFont="1" applyFill="1" applyBorder="1" applyAlignment="1" applyProtection="1">
      <alignment vertical="center"/>
    </xf>
    <xf numFmtId="16" fontId="10" fillId="2" borderId="0" xfId="1" applyNumberFormat="1" applyFont="1" applyFill="1" applyBorder="1" applyAlignment="1" applyProtection="1">
      <alignment horizontal="center" vertical="center"/>
    </xf>
    <xf numFmtId="16" fontId="1" fillId="2" borderId="0" xfId="1" applyNumberFormat="1" applyFont="1" applyFill="1" applyBorder="1" applyAlignment="1" applyProtection="1">
      <alignment horizontal="center" vertical="center"/>
    </xf>
    <xf numFmtId="1" fontId="1" fillId="2" borderId="0" xfId="1" applyNumberFormat="1" applyFont="1" applyFill="1" applyBorder="1" applyAlignment="1" applyProtection="1">
      <alignment horizontal="center" vertical="center"/>
    </xf>
    <xf numFmtId="0" fontId="1" fillId="2" borderId="2" xfId="1" applyFont="1" applyFill="1" applyBorder="1" applyAlignment="1" applyProtection="1">
      <alignment vertical="center"/>
    </xf>
    <xf numFmtId="0" fontId="1" fillId="0" borderId="1" xfId="1" applyFont="1" applyBorder="1" applyAlignment="1" applyProtection="1">
      <alignment vertical="center"/>
    </xf>
    <xf numFmtId="0" fontId="1" fillId="0" borderId="0" xfId="1" applyFont="1" applyBorder="1" applyAlignment="1" applyProtection="1">
      <alignment vertical="center"/>
    </xf>
    <xf numFmtId="0" fontId="1" fillId="3" borderId="0" xfId="1" applyFont="1" applyFill="1" applyBorder="1" applyAlignment="1" applyProtection="1">
      <alignment horizontal="center" vertical="center"/>
    </xf>
    <xf numFmtId="16" fontId="1" fillId="3" borderId="0" xfId="1" applyNumberFormat="1" applyFont="1" applyFill="1" applyBorder="1" applyAlignment="1" applyProtection="1">
      <alignment horizontal="center" vertical="center"/>
    </xf>
    <xf numFmtId="1" fontId="1" fillId="3" borderId="0" xfId="1" applyNumberFormat="1" applyFont="1" applyFill="1" applyBorder="1" applyAlignment="1" applyProtection="1">
      <alignment horizontal="center" vertical="center"/>
    </xf>
    <xf numFmtId="0" fontId="1" fillId="0" borderId="2" xfId="1" applyFont="1" applyBorder="1" applyAlignment="1" applyProtection="1">
      <alignment vertical="center"/>
    </xf>
    <xf numFmtId="2" fontId="11" fillId="0" borderId="0" xfId="1" applyNumberFormat="1" applyFont="1" applyBorder="1" applyAlignment="1" applyProtection="1">
      <alignment horizontal="center" vertical="center"/>
    </xf>
    <xf numFmtId="2" fontId="2" fillId="0" borderId="0" xfId="1" applyNumberFormat="1" applyFont="1" applyBorder="1" applyAlignment="1" applyProtection="1">
      <alignment horizontal="center" vertical="center"/>
    </xf>
    <xf numFmtId="164" fontId="11" fillId="0" borderId="0" xfId="1" applyNumberFormat="1" applyFont="1" applyBorder="1" applyAlignment="1" applyProtection="1">
      <alignment horizontal="center" vertical="center"/>
    </xf>
    <xf numFmtId="164" fontId="2" fillId="0" borderId="0" xfId="1" applyNumberFormat="1" applyFont="1" applyBorder="1" applyAlignment="1" applyProtection="1">
      <alignment horizontal="center" vertical="center"/>
    </xf>
    <xf numFmtId="164" fontId="2" fillId="0" borderId="2" xfId="1" applyNumberFormat="1" applyFont="1" applyBorder="1" applyAlignment="1" applyProtection="1">
      <alignment horizontal="center" vertical="center"/>
    </xf>
    <xf numFmtId="164" fontId="9" fillId="2" borderId="6" xfId="1" applyNumberFormat="1" applyFont="1" applyFill="1" applyBorder="1" applyAlignment="1" applyProtection="1">
      <alignment horizontal="center" vertical="center"/>
    </xf>
    <xf numFmtId="165" fontId="13" fillId="4" borderId="16" xfId="1" applyNumberFormat="1" applyFont="1" applyFill="1" applyBorder="1" applyAlignment="1" applyProtection="1">
      <alignment horizontal="center" vertical="center"/>
      <protection locked="0"/>
    </xf>
    <xf numFmtId="0" fontId="13" fillId="2" borderId="12" xfId="1" applyFont="1" applyFill="1" applyBorder="1" applyAlignment="1" applyProtection="1">
      <alignment horizontal="center" vertical="center"/>
    </xf>
    <xf numFmtId="164" fontId="12" fillId="0" borderId="6" xfId="1" applyNumberFormat="1" applyFont="1" applyBorder="1" applyAlignment="1" applyProtection="1">
      <alignment horizontal="center" vertical="center"/>
    </xf>
    <xf numFmtId="164" fontId="12" fillId="0" borderId="11" xfId="1" applyNumberFormat="1" applyFont="1" applyBorder="1" applyAlignment="1" applyProtection="1">
      <alignment horizontal="center" vertical="center"/>
    </xf>
    <xf numFmtId="0" fontId="13" fillId="2" borderId="0" xfId="1" applyFont="1" applyFill="1" applyBorder="1" applyAlignment="1" applyProtection="1">
      <alignment vertical="center"/>
    </xf>
    <xf numFmtId="0" fontId="12" fillId="2" borderId="7" xfId="1" applyFont="1" applyFill="1" applyBorder="1" applyAlignment="1" applyProtection="1">
      <alignment horizontal="left" vertical="center"/>
    </xf>
    <xf numFmtId="0" fontId="13" fillId="2" borderId="2" xfId="1" applyFont="1" applyFill="1" applyBorder="1" applyAlignment="1" applyProtection="1">
      <alignment vertical="center"/>
    </xf>
    <xf numFmtId="0" fontId="12" fillId="2" borderId="6" xfId="1" applyFont="1" applyFill="1" applyBorder="1" applyAlignment="1" applyProtection="1">
      <alignment vertical="center"/>
    </xf>
    <xf numFmtId="0" fontId="13" fillId="0" borderId="0" xfId="1" applyFont="1" applyFill="1" applyBorder="1" applyAlignment="1" applyProtection="1">
      <alignment vertical="center"/>
    </xf>
    <xf numFmtId="1" fontId="13" fillId="0" borderId="0" xfId="1" applyNumberFormat="1" applyFont="1" applyFill="1" applyBorder="1" applyAlignment="1" applyProtection="1">
      <alignment horizontal="center" vertical="center"/>
    </xf>
    <xf numFmtId="0" fontId="12" fillId="2" borderId="3" xfId="1" applyFont="1" applyFill="1" applyBorder="1" applyAlignment="1" applyProtection="1">
      <alignment vertical="center"/>
    </xf>
    <xf numFmtId="14" fontId="13" fillId="0" borderId="4" xfId="1" applyNumberFormat="1" applyFont="1" applyFill="1" applyBorder="1" applyAlignment="1" applyProtection="1">
      <alignment horizontal="left" vertical="center"/>
    </xf>
    <xf numFmtId="0" fontId="13" fillId="0" borderId="4" xfId="1" applyFont="1" applyFill="1" applyBorder="1" applyAlignment="1" applyProtection="1">
      <alignment horizontal="left" vertical="center"/>
    </xf>
    <xf numFmtId="0" fontId="13" fillId="0" borderId="4" xfId="1" applyFont="1" applyFill="1" applyBorder="1" applyAlignment="1" applyProtection="1">
      <alignment vertical="center"/>
    </xf>
    <xf numFmtId="0" fontId="12" fillId="0" borderId="4" xfId="1" applyFont="1" applyFill="1" applyBorder="1" applyAlignment="1" applyProtection="1">
      <alignment horizontal="left" vertical="center" wrapText="1"/>
    </xf>
    <xf numFmtId="2" fontId="12" fillId="0" borderId="4" xfId="1" applyNumberFormat="1" applyFont="1" applyFill="1" applyBorder="1" applyAlignment="1" applyProtection="1">
      <alignment horizontal="center" vertical="center" wrapText="1"/>
    </xf>
    <xf numFmtId="1" fontId="13" fillId="0" borderId="4" xfId="1" applyNumberFormat="1" applyFont="1" applyFill="1" applyBorder="1" applyAlignment="1" applyProtection="1">
      <alignment horizontal="center" vertical="center"/>
    </xf>
    <xf numFmtId="0" fontId="13" fillId="2" borderId="4" xfId="1" applyFont="1" applyFill="1" applyBorder="1" applyAlignment="1" applyProtection="1">
      <alignment vertical="center"/>
    </xf>
    <xf numFmtId="0" fontId="12" fillId="2" borderId="16" xfId="1" applyFont="1" applyFill="1" applyBorder="1" applyAlignment="1" applyProtection="1">
      <alignment horizontal="center" vertical="center"/>
    </xf>
    <xf numFmtId="0" fontId="13" fillId="2" borderId="5" xfId="1" applyFont="1" applyFill="1" applyBorder="1" applyAlignment="1" applyProtection="1">
      <alignment vertical="center"/>
    </xf>
    <xf numFmtId="0" fontId="13" fillId="2" borderId="16" xfId="1" applyFont="1" applyFill="1" applyBorder="1" applyAlignment="1" applyProtection="1">
      <alignment horizontal="left" vertical="center"/>
    </xf>
    <xf numFmtId="0" fontId="13" fillId="2" borderId="1" xfId="1" applyFont="1" applyFill="1" applyBorder="1" applyAlignment="1" applyProtection="1">
      <alignment vertical="center"/>
    </xf>
    <xf numFmtId="0" fontId="12" fillId="2" borderId="0" xfId="1" applyFont="1" applyFill="1" applyBorder="1" applyAlignment="1" applyProtection="1">
      <alignment vertical="center"/>
    </xf>
    <xf numFmtId="0" fontId="13" fillId="0" borderId="0" xfId="1" applyFont="1" applyFill="1" applyBorder="1" applyAlignment="1" applyProtection="1">
      <alignment horizontal="center" vertical="center"/>
      <protection locked="0"/>
    </xf>
    <xf numFmtId="164" fontId="2" fillId="2" borderId="1" xfId="1" applyNumberFormat="1" applyFont="1" applyFill="1" applyBorder="1" applyAlignment="1" applyProtection="1">
      <alignment horizontal="center" vertical="center"/>
    </xf>
    <xf numFmtId="1" fontId="11" fillId="0" borderId="0" xfId="1" applyNumberFormat="1" applyFont="1" applyFill="1" applyBorder="1" applyAlignment="1" applyProtection="1">
      <alignment horizontal="center" vertical="center"/>
    </xf>
    <xf numFmtId="0" fontId="11" fillId="0" borderId="0" xfId="1" applyNumberFormat="1" applyFont="1" applyFill="1" applyBorder="1" applyAlignment="1" applyProtection="1">
      <alignment horizontal="center" vertical="center"/>
    </xf>
    <xf numFmtId="0" fontId="11" fillId="0" borderId="0" xfId="1" applyFont="1" applyFill="1" applyBorder="1" applyAlignment="1" applyProtection="1">
      <alignment horizontal="center" vertical="center"/>
    </xf>
    <xf numFmtId="164" fontId="2" fillId="0" borderId="1" xfId="1" applyNumberFormat="1" applyFont="1" applyBorder="1" applyAlignment="1" applyProtection="1">
      <alignment horizontal="center" vertical="center"/>
    </xf>
    <xf numFmtId="0" fontId="15" fillId="0" borderId="0" xfId="1" applyFont="1" applyBorder="1" applyAlignment="1" applyProtection="1">
      <alignment vertical="center"/>
    </xf>
    <xf numFmtId="0" fontId="9" fillId="2" borderId="15" xfId="1" applyFont="1" applyFill="1" applyBorder="1" applyAlignment="1" applyProtection="1">
      <alignment horizontal="center" vertical="center"/>
    </xf>
    <xf numFmtId="0" fontId="12" fillId="2" borderId="17" xfId="1" applyFont="1" applyFill="1" applyBorder="1" applyAlignment="1" applyProtection="1">
      <alignment horizontal="left" vertical="center"/>
    </xf>
    <xf numFmtId="0" fontId="13" fillId="0" borderId="0" xfId="1" applyFont="1" applyFill="1" applyBorder="1" applyAlignment="1" applyProtection="1">
      <alignment horizontal="center" vertical="center"/>
    </xf>
    <xf numFmtId="0" fontId="10" fillId="0" borderId="0" xfId="1" applyFont="1" applyFill="1" applyBorder="1" applyAlignment="1" applyProtection="1">
      <alignment vertical="center"/>
    </xf>
    <xf numFmtId="165" fontId="13" fillId="0" borderId="2" xfId="1" applyNumberFormat="1" applyFont="1" applyFill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 applyProtection="1">
      <alignment horizontal="center" vertical="center"/>
    </xf>
    <xf numFmtId="0" fontId="9" fillId="2" borderId="14" xfId="1" applyFont="1" applyFill="1" applyBorder="1" applyAlignment="1" applyProtection="1">
      <alignment horizontal="center" vertical="center"/>
    </xf>
    <xf numFmtId="0" fontId="12" fillId="2" borderId="1" xfId="1" applyFont="1" applyFill="1" applyBorder="1" applyAlignment="1" applyProtection="1">
      <alignment vertical="center"/>
    </xf>
    <xf numFmtId="14" fontId="13" fillId="0" borderId="0" xfId="1" applyNumberFormat="1" applyFont="1" applyFill="1" applyBorder="1" applyAlignment="1" applyProtection="1">
      <alignment horizontal="left" vertical="center"/>
      <protection locked="0"/>
    </xf>
    <xf numFmtId="0" fontId="3" fillId="2" borderId="30" xfId="1" applyFont="1" applyFill="1" applyBorder="1" applyAlignment="1" applyProtection="1">
      <alignment horizontal="center" vertical="center"/>
    </xf>
    <xf numFmtId="0" fontId="1" fillId="0" borderId="31" xfId="1" applyFill="1" applyBorder="1" applyAlignment="1" applyProtection="1">
      <alignment horizontal="center" vertical="center"/>
    </xf>
    <xf numFmtId="0" fontId="1" fillId="0" borderId="31" xfId="1" applyFont="1" applyFill="1" applyBorder="1" applyAlignment="1" applyProtection="1">
      <alignment horizontal="center" vertical="center"/>
    </xf>
    <xf numFmtId="1" fontId="1" fillId="0" borderId="31" xfId="1" applyNumberFormat="1" applyFont="1" applyFill="1" applyBorder="1" applyAlignment="1" applyProtection="1">
      <alignment horizontal="center" vertical="center"/>
    </xf>
    <xf numFmtId="0" fontId="1" fillId="2" borderId="31" xfId="1" applyFont="1" applyFill="1" applyBorder="1" applyAlignment="1" applyProtection="1">
      <alignment vertical="center"/>
    </xf>
    <xf numFmtId="16" fontId="1" fillId="2" borderId="31" xfId="1" applyNumberFormat="1" applyFont="1" applyFill="1" applyBorder="1" applyAlignment="1" applyProtection="1">
      <alignment horizontal="center" vertical="center"/>
    </xf>
    <xf numFmtId="1" fontId="1" fillId="2" borderId="31" xfId="1" applyNumberFormat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/>
    </xf>
    <xf numFmtId="0" fontId="1" fillId="0" borderId="4" xfId="1" applyFill="1" applyBorder="1" applyAlignment="1" applyProtection="1">
      <alignment horizontal="center" vertical="center"/>
    </xf>
    <xf numFmtId="0" fontId="1" fillId="0" borderId="4" xfId="1" applyFont="1" applyFill="1" applyBorder="1" applyAlignment="1" applyProtection="1">
      <alignment horizontal="center" vertical="center"/>
    </xf>
    <xf numFmtId="1" fontId="1" fillId="0" borderId="4" xfId="1" applyNumberFormat="1" applyFont="1" applyFill="1" applyBorder="1" applyAlignment="1" applyProtection="1">
      <alignment horizontal="center" vertical="center"/>
    </xf>
    <xf numFmtId="0" fontId="1" fillId="2" borderId="4" xfId="1" applyFont="1" applyFill="1" applyBorder="1" applyAlignment="1" applyProtection="1">
      <alignment vertical="center"/>
    </xf>
    <xf numFmtId="16" fontId="1" fillId="2" borderId="4" xfId="1" applyNumberFormat="1" applyFont="1" applyFill="1" applyBorder="1" applyAlignment="1" applyProtection="1">
      <alignment horizontal="center" vertical="center"/>
    </xf>
    <xf numFmtId="0" fontId="12" fillId="4" borderId="14" xfId="1" applyFont="1" applyFill="1" applyBorder="1" applyAlignment="1" applyProtection="1">
      <alignment horizontal="center" vertical="center" wrapText="1"/>
      <protection locked="0"/>
    </xf>
    <xf numFmtId="166" fontId="13" fillId="0" borderId="16" xfId="1" applyNumberFormat="1" applyFont="1" applyFill="1" applyBorder="1" applyAlignment="1" applyProtection="1">
      <alignment horizontal="center" vertical="center"/>
    </xf>
    <xf numFmtId="0" fontId="12" fillId="2" borderId="7" xfId="1" applyFont="1" applyFill="1" applyBorder="1" applyAlignment="1">
      <alignment vertical="center"/>
    </xf>
    <xf numFmtId="166" fontId="18" fillId="4" borderId="7" xfId="0" applyNumberFormat="1" applyFont="1" applyFill="1" applyBorder="1" applyAlignment="1" applyProtection="1">
      <alignment horizontal="center" vertical="center"/>
      <protection locked="0"/>
    </xf>
    <xf numFmtId="1" fontId="13" fillId="4" borderId="16" xfId="1" applyNumberFormat="1" applyFont="1" applyFill="1" applyBorder="1" applyAlignment="1" applyProtection="1">
      <alignment horizontal="center" vertical="center"/>
      <protection locked="0"/>
    </xf>
    <xf numFmtId="1" fontId="13" fillId="4" borderId="7" xfId="1" applyNumberFormat="1" applyFont="1" applyFill="1" applyBorder="1" applyAlignment="1" applyProtection="1">
      <alignment horizontal="center" vertical="center"/>
      <protection locked="0"/>
    </xf>
    <xf numFmtId="1" fontId="13" fillId="4" borderId="8" xfId="1" applyNumberFormat="1" applyFont="1" applyFill="1" applyBorder="1" applyAlignment="1" applyProtection="1">
      <alignment horizontal="center" vertical="center"/>
      <protection locked="0"/>
    </xf>
    <xf numFmtId="0" fontId="12" fillId="0" borderId="13" xfId="1" applyFont="1" applyBorder="1" applyAlignment="1" applyProtection="1">
      <alignment horizontal="center" vertical="center" wrapText="1"/>
    </xf>
    <xf numFmtId="2" fontId="13" fillId="0" borderId="7" xfId="1" applyNumberFormat="1" applyFont="1" applyBorder="1" applyAlignment="1" applyProtection="1">
      <alignment horizontal="center" vertical="center"/>
    </xf>
    <xf numFmtId="164" fontId="13" fillId="0" borderId="7" xfId="1" applyNumberFormat="1" applyFont="1" applyBorder="1" applyAlignment="1" applyProtection="1">
      <alignment horizontal="center" vertical="center"/>
    </xf>
    <xf numFmtId="2" fontId="13" fillId="0" borderId="16" xfId="1" applyNumberFormat="1" applyFont="1" applyBorder="1" applyAlignment="1" applyProtection="1">
      <alignment horizontal="center" vertical="center"/>
    </xf>
    <xf numFmtId="164" fontId="13" fillId="0" borderId="16" xfId="1" applyNumberFormat="1" applyFont="1" applyBorder="1" applyAlignment="1" applyProtection="1">
      <alignment horizontal="center" vertical="center"/>
    </xf>
    <xf numFmtId="164" fontId="12" fillId="0" borderId="6" xfId="1" applyNumberFormat="1" applyFont="1" applyBorder="1" applyAlignment="1" applyProtection="1">
      <alignment horizontal="center" vertical="center" wrapText="1"/>
    </xf>
    <xf numFmtId="164" fontId="12" fillId="0" borderId="11" xfId="1" applyNumberFormat="1" applyFont="1" applyBorder="1" applyAlignment="1" applyProtection="1">
      <alignment horizontal="center" vertical="center" wrapText="1"/>
    </xf>
    <xf numFmtId="164" fontId="12" fillId="0" borderId="7" xfId="1" applyNumberFormat="1" applyFont="1" applyBorder="1" applyAlignment="1" applyProtection="1">
      <alignment horizontal="center" vertical="center"/>
    </xf>
    <xf numFmtId="164" fontId="12" fillId="0" borderId="16" xfId="1" applyNumberFormat="1" applyFont="1" applyBorder="1" applyAlignment="1" applyProtection="1">
      <alignment horizontal="center" vertical="center"/>
    </xf>
    <xf numFmtId="0" fontId="12" fillId="0" borderId="14" xfId="1" applyFont="1" applyBorder="1" applyAlignment="1" applyProtection="1">
      <alignment horizontal="center" vertical="center" wrapText="1"/>
    </xf>
    <xf numFmtId="164" fontId="12" fillId="0" borderId="8" xfId="1" applyNumberFormat="1" applyFont="1" applyBorder="1" applyAlignment="1" applyProtection="1">
      <alignment horizontal="center" vertical="center"/>
    </xf>
    <xf numFmtId="164" fontId="12" fillId="0" borderId="12" xfId="1" applyNumberFormat="1" applyFont="1" applyBorder="1" applyAlignment="1" applyProtection="1">
      <alignment horizontal="center" vertical="center"/>
    </xf>
    <xf numFmtId="0" fontId="12" fillId="0" borderId="27" xfId="1" applyFont="1" applyBorder="1" applyAlignment="1" applyProtection="1">
      <alignment horizontal="center" vertical="center"/>
    </xf>
    <xf numFmtId="2" fontId="9" fillId="2" borderId="0" xfId="1" applyNumberFormat="1" applyFont="1" applyFill="1" applyBorder="1" applyAlignment="1" applyProtection="1">
      <alignment vertical="center"/>
    </xf>
    <xf numFmtId="0" fontId="1" fillId="2" borderId="2" xfId="1" applyFont="1" applyFill="1" applyBorder="1" applyAlignment="1">
      <alignment vertical="center"/>
    </xf>
    <xf numFmtId="0" fontId="13" fillId="4" borderId="17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vertical="center"/>
    </xf>
    <xf numFmtId="0" fontId="12" fillId="0" borderId="7" xfId="1" applyFont="1" applyBorder="1" applyAlignment="1" applyProtection="1">
      <alignment horizontal="center" vertical="center" wrapText="1"/>
    </xf>
    <xf numFmtId="0" fontId="15" fillId="0" borderId="0" xfId="1" applyFont="1" applyBorder="1" applyAlignment="1" applyProtection="1">
      <alignment vertical="top"/>
    </xf>
    <xf numFmtId="0" fontId="12" fillId="0" borderId="8" xfId="1" applyFont="1" applyFill="1" applyBorder="1" applyAlignment="1" applyProtection="1">
      <alignment horizontal="center" vertical="center" wrapText="1"/>
    </xf>
    <xf numFmtId="166" fontId="12" fillId="0" borderId="16" xfId="1" applyNumberFormat="1" applyFont="1" applyFill="1" applyBorder="1" applyAlignment="1" applyProtection="1">
      <alignment horizontal="center" vertical="center"/>
    </xf>
    <xf numFmtId="0" fontId="12" fillId="0" borderId="6" xfId="1" applyFont="1" applyBorder="1" applyAlignment="1" applyProtection="1">
      <alignment horizontal="center" vertical="center" wrapText="1"/>
    </xf>
    <xf numFmtId="1" fontId="11" fillId="0" borderId="2" xfId="1" applyNumberFormat="1" applyFont="1" applyFill="1" applyBorder="1" applyAlignment="1" applyProtection="1">
      <alignment horizontal="center" vertical="center"/>
    </xf>
    <xf numFmtId="0" fontId="15" fillId="0" borderId="31" xfId="1" applyFont="1" applyFill="1" applyBorder="1" applyAlignment="1" applyProtection="1">
      <alignment vertical="center"/>
    </xf>
    <xf numFmtId="0" fontId="15" fillId="0" borderId="32" xfId="1" applyFont="1" applyFill="1" applyBorder="1" applyAlignment="1" applyProtection="1">
      <alignment vertical="center"/>
    </xf>
    <xf numFmtId="0" fontId="12" fillId="0" borderId="8" xfId="1" applyFont="1" applyBorder="1" applyAlignment="1" applyProtection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</xf>
    <xf numFmtId="1" fontId="10" fillId="2" borderId="41" xfId="1" applyNumberFormat="1" applyFont="1" applyFill="1" applyBorder="1" applyAlignment="1" applyProtection="1">
      <alignment horizontal="center" vertical="center"/>
    </xf>
    <xf numFmtId="1" fontId="13" fillId="2" borderId="17" xfId="1" applyNumberFormat="1" applyFont="1" applyFill="1" applyBorder="1" applyAlignment="1" applyProtection="1">
      <alignment horizontal="center" vertical="center"/>
    </xf>
    <xf numFmtId="1" fontId="13" fillId="2" borderId="7" xfId="1" applyNumberFormat="1" applyFont="1" applyFill="1" applyBorder="1" applyAlignment="1" applyProtection="1">
      <alignment horizontal="center" vertical="center"/>
    </xf>
    <xf numFmtId="0" fontId="12" fillId="2" borderId="7" xfId="1" applyFont="1" applyFill="1" applyBorder="1" applyAlignment="1" applyProtection="1">
      <alignment horizontal="center" vertical="center"/>
    </xf>
    <xf numFmtId="165" fontId="13" fillId="2" borderId="7" xfId="1" applyNumberFormat="1" applyFont="1" applyFill="1" applyBorder="1" applyAlignment="1" applyProtection="1">
      <alignment horizontal="center" vertical="center"/>
    </xf>
    <xf numFmtId="2" fontId="13" fillId="0" borderId="16" xfId="1" applyNumberFormat="1" applyFont="1" applyFill="1" applyBorder="1" applyAlignment="1" applyProtection="1">
      <alignment horizontal="center" vertical="center"/>
    </xf>
    <xf numFmtId="2" fontId="13" fillId="0" borderId="12" xfId="1" applyNumberFormat="1" applyFont="1" applyFill="1" applyBorder="1" applyAlignment="1" applyProtection="1">
      <alignment horizontal="center" vertical="center"/>
    </xf>
    <xf numFmtId="0" fontId="12" fillId="0" borderId="34" xfId="1" applyFont="1" applyBorder="1" applyAlignment="1" applyProtection="1">
      <alignment horizontal="center" vertical="center"/>
    </xf>
    <xf numFmtId="164" fontId="12" fillId="0" borderId="34" xfId="1" applyNumberFormat="1" applyFont="1" applyBorder="1" applyAlignment="1" applyProtection="1">
      <alignment horizontal="center" vertical="center"/>
    </xf>
    <xf numFmtId="2" fontId="13" fillId="0" borderId="8" xfId="1" applyNumberFormat="1" applyFont="1" applyBorder="1" applyAlignment="1" applyProtection="1">
      <alignment horizontal="center" vertical="center"/>
    </xf>
    <xf numFmtId="2" fontId="13" fillId="0" borderId="12" xfId="1" applyNumberFormat="1" applyFont="1" applyBorder="1" applyAlignment="1" applyProtection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</xf>
    <xf numFmtId="0" fontId="12" fillId="0" borderId="14" xfId="1" applyFont="1" applyFill="1" applyBorder="1" applyAlignment="1" applyProtection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</xf>
    <xf numFmtId="0" fontId="12" fillId="0" borderId="0" xfId="1" applyFont="1" applyFill="1" applyBorder="1" applyAlignment="1" applyProtection="1">
      <alignment horizontal="center" vertical="center" wrapText="1"/>
    </xf>
    <xf numFmtId="166" fontId="12" fillId="2" borderId="12" xfId="1" applyNumberFormat="1" applyFont="1" applyFill="1" applyBorder="1" applyAlignment="1" applyProtection="1">
      <alignment horizontal="center" vertical="center"/>
    </xf>
    <xf numFmtId="0" fontId="13" fillId="4" borderId="16" xfId="1" applyFont="1" applyFill="1" applyBorder="1" applyAlignment="1" applyProtection="1">
      <alignment horizontal="center" vertical="center"/>
      <protection locked="0"/>
    </xf>
    <xf numFmtId="0" fontId="13" fillId="0" borderId="0" xfId="1" applyFont="1" applyFill="1" applyBorder="1" applyAlignment="1" applyProtection="1">
      <alignment horizontal="left" vertical="center"/>
    </xf>
    <xf numFmtId="0" fontId="12" fillId="0" borderId="7" xfId="1" applyFont="1" applyFill="1" applyBorder="1" applyAlignment="1" applyProtection="1">
      <alignment horizontal="center" vertical="center" wrapText="1"/>
    </xf>
    <xf numFmtId="0" fontId="12" fillId="2" borderId="13" xfId="1" applyFont="1" applyFill="1" applyBorder="1" applyAlignment="1" applyProtection="1">
      <alignment horizontal="center" vertical="center"/>
    </xf>
    <xf numFmtId="0" fontId="13" fillId="2" borderId="16" xfId="1" applyFont="1" applyFill="1" applyBorder="1" applyAlignment="1" applyProtection="1">
      <alignment horizontal="center" vertical="center"/>
    </xf>
    <xf numFmtId="0" fontId="12" fillId="2" borderId="6" xfId="1" applyFont="1" applyFill="1" applyBorder="1" applyAlignment="1" applyProtection="1">
      <alignment horizontal="center" vertical="center"/>
    </xf>
    <xf numFmtId="0" fontId="12" fillId="2" borderId="11" xfId="1" applyFont="1" applyFill="1" applyBorder="1" applyAlignment="1" applyProtection="1">
      <alignment horizontal="center" vertical="center"/>
    </xf>
    <xf numFmtId="1" fontId="12" fillId="2" borderId="7" xfId="1" applyNumberFormat="1" applyFont="1" applyFill="1" applyBorder="1" applyAlignment="1" applyProtection="1">
      <alignment horizontal="center" vertical="center"/>
    </xf>
    <xf numFmtId="1" fontId="12" fillId="2" borderId="16" xfId="1" applyNumberFormat="1" applyFont="1" applyFill="1" applyBorder="1" applyAlignment="1" applyProtection="1">
      <alignment horizontal="center" vertical="center"/>
    </xf>
    <xf numFmtId="2" fontId="13" fillId="4" borderId="16" xfId="1" applyNumberFormat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</xf>
    <xf numFmtId="0" fontId="12" fillId="0" borderId="14" xfId="1" applyFont="1" applyBorder="1" applyAlignment="1" applyProtection="1">
      <alignment horizontal="center" vertical="center"/>
    </xf>
    <xf numFmtId="0" fontId="12" fillId="0" borderId="15" xfId="1" applyFont="1" applyBorder="1" applyAlignment="1" applyProtection="1">
      <alignment horizontal="center" vertical="center"/>
    </xf>
    <xf numFmtId="0" fontId="12" fillId="2" borderId="1" xfId="1" applyFont="1" applyFill="1" applyBorder="1" applyAlignment="1" applyProtection="1">
      <alignment horizontal="center" vertical="center"/>
    </xf>
    <xf numFmtId="0" fontId="12" fillId="2" borderId="0" xfId="1" applyFont="1" applyFill="1" applyBorder="1" applyAlignment="1" applyProtection="1">
      <alignment horizontal="center" vertical="center"/>
    </xf>
    <xf numFmtId="0" fontId="12" fillId="0" borderId="0" xfId="1" applyFont="1" applyFill="1" applyBorder="1" applyAlignment="1" applyProtection="1">
      <alignment horizontal="center" vertical="center"/>
    </xf>
    <xf numFmtId="0" fontId="13" fillId="0" borderId="7" xfId="1" applyFont="1" applyBorder="1" applyAlignment="1">
      <alignment horizontal="center" vertical="center"/>
    </xf>
    <xf numFmtId="49" fontId="15" fillId="0" borderId="42" xfId="1" applyNumberFormat="1" applyFont="1" applyBorder="1" applyAlignment="1" applyProtection="1">
      <alignment horizontal="center" vertical="center"/>
    </xf>
    <xf numFmtId="49" fontId="15" fillId="0" borderId="35" xfId="1" applyNumberFormat="1" applyFont="1" applyBorder="1" applyAlignment="1" applyProtection="1">
      <alignment horizontal="center" vertical="center"/>
    </xf>
    <xf numFmtId="49" fontId="15" fillId="0" borderId="36" xfId="1" applyNumberFormat="1" applyFont="1" applyBorder="1" applyAlignment="1" applyProtection="1">
      <alignment horizontal="center" vertical="center"/>
    </xf>
    <xf numFmtId="49" fontId="15" fillId="0" borderId="10" xfId="1" applyNumberFormat="1" applyFont="1" applyBorder="1" applyAlignment="1" applyProtection="1">
      <alignment horizontal="center" vertical="center"/>
    </xf>
    <xf numFmtId="49" fontId="15" fillId="0" borderId="43" xfId="1" applyNumberFormat="1" applyFont="1" applyBorder="1" applyAlignment="1" applyProtection="1">
      <alignment horizontal="center" vertical="center"/>
    </xf>
    <xf numFmtId="49" fontId="15" fillId="0" borderId="37" xfId="1" applyNumberFormat="1" applyFont="1" applyBorder="1" applyAlignment="1" applyProtection="1">
      <alignment horizontal="center" vertical="center"/>
    </xf>
    <xf numFmtId="0" fontId="9" fillId="0" borderId="3" xfId="1" applyFont="1" applyFill="1" applyBorder="1" applyAlignment="1" applyProtection="1">
      <alignment horizontal="left" vertical="center"/>
    </xf>
    <xf numFmtId="0" fontId="9" fillId="0" borderId="4" xfId="1" applyFont="1" applyFill="1" applyBorder="1" applyAlignment="1" applyProtection="1">
      <alignment horizontal="left" vertical="center"/>
    </xf>
    <xf numFmtId="0" fontId="1" fillId="0" borderId="25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0" fontId="1" fillId="0" borderId="27" xfId="1" applyFont="1" applyBorder="1" applyAlignment="1">
      <alignment horizontal="center" vertical="center"/>
    </xf>
    <xf numFmtId="0" fontId="15" fillId="0" borderId="13" xfId="1" applyFont="1" applyBorder="1" applyAlignment="1" applyProtection="1">
      <alignment horizontal="center" vertical="center"/>
    </xf>
    <xf numFmtId="0" fontId="15" fillId="0" borderId="14" xfId="1" applyFont="1" applyBorder="1" applyAlignment="1" applyProtection="1">
      <alignment horizontal="center" vertical="center"/>
    </xf>
    <xf numFmtId="0" fontId="15" fillId="0" borderId="15" xfId="1" applyFont="1" applyBorder="1" applyAlignment="1" applyProtection="1">
      <alignment horizontal="center" vertical="center"/>
    </xf>
    <xf numFmtId="0" fontId="12" fillId="2" borderId="4" xfId="1" applyFont="1" applyFill="1" applyBorder="1" applyAlignment="1" applyProtection="1">
      <alignment horizontal="center" vertical="center"/>
    </xf>
    <xf numFmtId="0" fontId="12" fillId="2" borderId="5" xfId="1" applyFont="1" applyFill="1" applyBorder="1" applyAlignment="1" applyProtection="1">
      <alignment horizontal="center" vertical="center"/>
    </xf>
    <xf numFmtId="0" fontId="12" fillId="2" borderId="31" xfId="1" applyFont="1" applyFill="1" applyBorder="1" applyAlignment="1" applyProtection="1">
      <alignment horizontal="center" vertical="center"/>
    </xf>
    <xf numFmtId="0" fontId="12" fillId="2" borderId="32" xfId="1" applyFont="1" applyFill="1" applyBorder="1" applyAlignment="1" applyProtection="1">
      <alignment horizontal="center" vertical="center"/>
    </xf>
    <xf numFmtId="0" fontId="12" fillId="2" borderId="1" xfId="1" applyFont="1" applyFill="1" applyBorder="1" applyAlignment="1" applyProtection="1">
      <alignment horizontal="center" vertical="center"/>
    </xf>
    <xf numFmtId="0" fontId="12" fillId="2" borderId="0" xfId="1" applyFont="1" applyFill="1" applyBorder="1" applyAlignment="1" applyProtection="1">
      <alignment horizontal="center" vertical="center"/>
    </xf>
    <xf numFmtId="16" fontId="13" fillId="2" borderId="38" xfId="1" applyNumberFormat="1" applyFont="1" applyFill="1" applyBorder="1" applyAlignment="1" applyProtection="1">
      <alignment horizontal="center" vertical="center"/>
    </xf>
    <xf numFmtId="16" fontId="13" fillId="2" borderId="31" xfId="1" applyNumberFormat="1" applyFont="1" applyFill="1" applyBorder="1" applyAlignment="1" applyProtection="1">
      <alignment horizontal="center" vertical="center"/>
    </xf>
    <xf numFmtId="16" fontId="13" fillId="2" borderId="32" xfId="1" applyNumberFormat="1" applyFont="1" applyFill="1" applyBorder="1" applyAlignment="1" applyProtection="1">
      <alignment horizontal="center" vertical="center"/>
    </xf>
    <xf numFmtId="16" fontId="13" fillId="2" borderId="18" xfId="1" applyNumberFormat="1" applyFont="1" applyFill="1" applyBorder="1" applyAlignment="1" applyProtection="1">
      <alignment horizontal="center" vertical="center"/>
    </xf>
    <xf numFmtId="16" fontId="13" fillId="2" borderId="20" xfId="1" applyNumberFormat="1" applyFont="1" applyFill="1" applyBorder="1" applyAlignment="1" applyProtection="1">
      <alignment horizontal="center" vertical="center"/>
    </xf>
    <xf numFmtId="16" fontId="13" fillId="2" borderId="21" xfId="1" applyNumberFormat="1" applyFont="1" applyFill="1" applyBorder="1" applyAlignment="1" applyProtection="1">
      <alignment horizontal="center" vertical="center"/>
    </xf>
    <xf numFmtId="0" fontId="12" fillId="0" borderId="13" xfId="1" applyFont="1" applyBorder="1" applyAlignment="1" applyProtection="1">
      <alignment horizontal="center" vertical="center"/>
    </xf>
    <xf numFmtId="0" fontId="12" fillId="0" borderId="14" xfId="1" applyFont="1" applyBorder="1" applyAlignment="1" applyProtection="1">
      <alignment horizontal="center" vertical="center"/>
    </xf>
    <xf numFmtId="0" fontId="12" fillId="0" borderId="15" xfId="1" applyFont="1" applyBorder="1" applyAlignment="1" applyProtection="1">
      <alignment horizontal="center" vertical="center"/>
    </xf>
    <xf numFmtId="0" fontId="12" fillId="0" borderId="0" xfId="1" applyFont="1" applyFill="1" applyBorder="1" applyAlignment="1" applyProtection="1">
      <alignment horizontal="center" vertical="center" wrapText="1"/>
    </xf>
    <xf numFmtId="165" fontId="12" fillId="0" borderId="0" xfId="1" applyNumberFormat="1" applyFont="1" applyFill="1" applyBorder="1" applyAlignment="1" applyProtection="1">
      <alignment horizontal="center" vertical="center"/>
    </xf>
    <xf numFmtId="0" fontId="12" fillId="0" borderId="0" xfId="1" applyFont="1" applyFill="1" applyBorder="1" applyAlignment="1" applyProtection="1">
      <alignment horizontal="center" vertical="center"/>
    </xf>
    <xf numFmtId="0" fontId="15" fillId="0" borderId="13" xfId="1" applyFont="1" applyFill="1" applyBorder="1" applyAlignment="1" applyProtection="1">
      <alignment horizontal="center" vertical="center"/>
    </xf>
    <xf numFmtId="0" fontId="15" fillId="0" borderId="14" xfId="1" applyFont="1" applyFill="1" applyBorder="1" applyAlignment="1" applyProtection="1">
      <alignment horizontal="center" vertical="center"/>
    </xf>
    <xf numFmtId="0" fontId="15" fillId="0" borderId="22" xfId="1" applyFont="1" applyBorder="1" applyAlignment="1" applyProtection="1">
      <alignment horizontal="center" vertical="center"/>
    </xf>
    <xf numFmtId="0" fontId="15" fillId="0" borderId="23" xfId="1" applyFont="1" applyBorder="1" applyAlignment="1" applyProtection="1">
      <alignment horizontal="center" vertical="center"/>
    </xf>
    <xf numFmtId="0" fontId="15" fillId="0" borderId="24" xfId="1" applyFont="1" applyBorder="1" applyAlignment="1" applyProtection="1">
      <alignment horizontal="center" vertical="center"/>
    </xf>
    <xf numFmtId="0" fontId="12" fillId="2" borderId="13" xfId="1" applyFont="1" applyFill="1" applyBorder="1" applyAlignment="1" applyProtection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</xf>
    <xf numFmtId="0" fontId="12" fillId="2" borderId="14" xfId="1" applyFont="1" applyFill="1" applyBorder="1" applyAlignment="1" applyProtection="1">
      <alignment horizontal="center" vertical="center" wrapText="1"/>
    </xf>
    <xf numFmtId="0" fontId="12" fillId="2" borderId="15" xfId="1" applyFont="1" applyFill="1" applyBorder="1" applyAlignment="1" applyProtection="1">
      <alignment horizontal="center" vertical="center" wrapText="1"/>
    </xf>
    <xf numFmtId="0" fontId="13" fillId="0" borderId="16" xfId="1" applyFont="1" applyFill="1" applyBorder="1" applyAlignment="1" applyProtection="1">
      <alignment horizontal="center" vertical="center"/>
    </xf>
    <xf numFmtId="0" fontId="13" fillId="4" borderId="16" xfId="1" applyFont="1" applyFill="1" applyBorder="1" applyAlignment="1" applyProtection="1">
      <alignment horizontal="center" vertical="center"/>
    </xf>
    <xf numFmtId="1" fontId="13" fillId="4" borderId="16" xfId="1" applyNumberFormat="1" applyFont="1" applyFill="1" applyBorder="1" applyAlignment="1" applyProtection="1">
      <alignment horizontal="center" vertical="center"/>
    </xf>
    <xf numFmtId="0" fontId="13" fillId="4" borderId="16" xfId="1" applyFont="1" applyFill="1" applyBorder="1" applyAlignment="1" applyProtection="1">
      <alignment horizontal="center" vertical="center"/>
      <protection locked="0"/>
    </xf>
    <xf numFmtId="0" fontId="13" fillId="4" borderId="12" xfId="1" applyFont="1" applyFill="1" applyBorder="1" applyAlignment="1" applyProtection="1">
      <alignment horizontal="center" vertical="center"/>
      <protection locked="0"/>
    </xf>
    <xf numFmtId="0" fontId="13" fillId="4" borderId="11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</xf>
    <xf numFmtId="0" fontId="12" fillId="2" borderId="11" xfId="1" applyFont="1" applyFill="1" applyBorder="1" applyAlignment="1" applyProtection="1">
      <alignment horizontal="center" vertical="center"/>
    </xf>
    <xf numFmtId="1" fontId="12" fillId="2" borderId="14" xfId="1" applyNumberFormat="1" applyFont="1" applyFill="1" applyBorder="1" applyAlignment="1" applyProtection="1">
      <alignment horizontal="center" vertical="center" wrapText="1"/>
    </xf>
    <xf numFmtId="1" fontId="12" fillId="2" borderId="14" xfId="1" applyNumberFormat="1" applyFont="1" applyFill="1" applyBorder="1" applyAlignment="1" applyProtection="1">
      <alignment horizontal="center" vertical="center"/>
    </xf>
    <xf numFmtId="2" fontId="12" fillId="2" borderId="14" xfId="1" applyNumberFormat="1" applyFont="1" applyFill="1" applyBorder="1" applyAlignment="1" applyProtection="1">
      <alignment horizontal="center" vertical="center" wrapText="1"/>
    </xf>
    <xf numFmtId="2" fontId="12" fillId="2" borderId="14" xfId="1" applyNumberFormat="1" applyFont="1" applyFill="1" applyBorder="1" applyAlignment="1" applyProtection="1">
      <alignment horizontal="center" vertical="center"/>
    </xf>
    <xf numFmtId="0" fontId="13" fillId="2" borderId="6" xfId="1" applyFont="1" applyFill="1" applyBorder="1" applyAlignment="1" applyProtection="1">
      <alignment horizontal="left" vertical="center" wrapText="1"/>
    </xf>
    <xf numFmtId="0" fontId="13" fillId="2" borderId="7" xfId="1" applyFont="1" applyFill="1" applyBorder="1" applyAlignment="1" applyProtection="1">
      <alignment horizontal="left" vertical="center" wrapText="1"/>
    </xf>
    <xf numFmtId="1" fontId="12" fillId="4" borderId="33" xfId="1" applyNumberFormat="1" applyFont="1" applyFill="1" applyBorder="1" applyAlignment="1" applyProtection="1">
      <alignment horizontal="center" vertical="center"/>
      <protection locked="0"/>
    </xf>
    <xf numFmtId="1" fontId="12" fillId="4" borderId="36" xfId="1" applyNumberFormat="1" applyFont="1" applyFill="1" applyBorder="1" applyAlignment="1" applyProtection="1">
      <alignment horizontal="center" vertical="center"/>
      <protection locked="0"/>
    </xf>
    <xf numFmtId="166" fontId="12" fillId="2" borderId="7" xfId="1" applyNumberFormat="1" applyFont="1" applyFill="1" applyBorder="1" applyAlignment="1" applyProtection="1">
      <alignment horizontal="center" vertical="center"/>
    </xf>
    <xf numFmtId="166" fontId="12" fillId="2" borderId="8" xfId="1" applyNumberFormat="1" applyFont="1" applyFill="1" applyBorder="1" applyAlignment="1" applyProtection="1">
      <alignment horizontal="center" vertical="center"/>
    </xf>
    <xf numFmtId="0" fontId="13" fillId="2" borderId="11" xfId="1" applyFont="1" applyFill="1" applyBorder="1" applyAlignment="1" applyProtection="1">
      <alignment horizontal="left" vertical="center" wrapText="1"/>
    </xf>
    <xf numFmtId="0" fontId="13" fillId="2" borderId="16" xfId="1" applyFont="1" applyFill="1" applyBorder="1" applyAlignment="1" applyProtection="1">
      <alignment horizontal="left" vertical="center" wrapText="1"/>
    </xf>
    <xf numFmtId="166" fontId="12" fillId="2" borderId="16" xfId="1" applyNumberFormat="1" applyFont="1" applyFill="1" applyBorder="1" applyAlignment="1" applyProtection="1">
      <alignment horizontal="center" vertical="center"/>
    </xf>
    <xf numFmtId="166" fontId="12" fillId="2" borderId="12" xfId="1" applyNumberFormat="1" applyFont="1" applyFill="1" applyBorder="1" applyAlignment="1" applyProtection="1">
      <alignment horizontal="center" vertical="center"/>
    </xf>
    <xf numFmtId="0" fontId="12" fillId="2" borderId="13" xfId="1" applyFont="1" applyFill="1" applyBorder="1" applyAlignment="1" applyProtection="1">
      <alignment horizontal="center" vertical="center"/>
    </xf>
    <xf numFmtId="165" fontId="12" fillId="2" borderId="14" xfId="1" applyNumberFormat="1" applyFont="1" applyFill="1" applyBorder="1" applyAlignment="1" applyProtection="1">
      <alignment horizontal="center" vertical="center"/>
    </xf>
    <xf numFmtId="165" fontId="12" fillId="2" borderId="15" xfId="1" applyNumberFormat="1" applyFont="1" applyFill="1" applyBorder="1" applyAlignment="1" applyProtection="1">
      <alignment horizontal="center" vertical="center"/>
    </xf>
    <xf numFmtId="165" fontId="12" fillId="4" borderId="7" xfId="1" applyNumberFormat="1" applyFont="1" applyFill="1" applyBorder="1" applyAlignment="1" applyProtection="1">
      <alignment horizontal="center" vertical="center" wrapText="1"/>
      <protection locked="0"/>
    </xf>
    <xf numFmtId="165" fontId="12" fillId="4" borderId="8" xfId="1" applyNumberFormat="1" applyFont="1" applyFill="1" applyBorder="1" applyAlignment="1" applyProtection="1">
      <alignment horizontal="center" vertical="center" wrapText="1"/>
      <protection locked="0"/>
    </xf>
    <xf numFmtId="2" fontId="12" fillId="4" borderId="33" xfId="1" applyNumberFormat="1" applyFont="1" applyFill="1" applyBorder="1" applyAlignment="1" applyProtection="1">
      <alignment horizontal="center" vertical="center"/>
      <protection locked="0"/>
    </xf>
    <xf numFmtId="2" fontId="12" fillId="4" borderId="36" xfId="1" applyNumberFormat="1" applyFont="1" applyFill="1" applyBorder="1" applyAlignment="1" applyProtection="1">
      <alignment horizontal="center" vertical="center"/>
      <protection locked="0"/>
    </xf>
    <xf numFmtId="0" fontId="9" fillId="2" borderId="7" xfId="1" applyFont="1" applyFill="1" applyBorder="1" applyAlignment="1" applyProtection="1">
      <alignment horizontal="center" vertical="center"/>
    </xf>
    <xf numFmtId="0" fontId="12" fillId="2" borderId="6" xfId="1" applyFont="1" applyFill="1" applyBorder="1" applyAlignment="1" applyProtection="1">
      <alignment horizontal="center" vertical="center"/>
    </xf>
    <xf numFmtId="1" fontId="12" fillId="2" borderId="7" xfId="1" applyNumberFormat="1" applyFont="1" applyFill="1" applyBorder="1" applyAlignment="1" applyProtection="1">
      <alignment horizontal="center" vertical="center"/>
    </xf>
    <xf numFmtId="1" fontId="12" fillId="2" borderId="16" xfId="1" applyNumberFormat="1" applyFont="1" applyFill="1" applyBorder="1" applyAlignment="1" applyProtection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65" fontId="20" fillId="0" borderId="7" xfId="0" applyNumberFormat="1" applyFont="1" applyBorder="1" applyAlignment="1">
      <alignment horizontal="center" vertical="center"/>
    </xf>
    <xf numFmtId="165" fontId="20" fillId="0" borderId="16" xfId="0" applyNumberFormat="1" applyFont="1" applyBorder="1" applyAlignment="1">
      <alignment horizontal="center" vertical="center"/>
    </xf>
    <xf numFmtId="0" fontId="12" fillId="2" borderId="11" xfId="1" applyFont="1" applyFill="1" applyBorder="1" applyAlignment="1" applyProtection="1">
      <alignment horizontal="center" vertical="center" wrapText="1"/>
    </xf>
    <xf numFmtId="0" fontId="12" fillId="0" borderId="13" xfId="1" applyFont="1" applyFill="1" applyBorder="1" applyAlignment="1" applyProtection="1">
      <alignment horizontal="center" vertical="center" wrapText="1"/>
    </xf>
    <xf numFmtId="0" fontId="12" fillId="0" borderId="15" xfId="1" applyFont="1" applyFill="1" applyBorder="1" applyAlignment="1" applyProtection="1">
      <alignment horizontal="center" vertical="center" wrapText="1"/>
    </xf>
    <xf numFmtId="1" fontId="12" fillId="4" borderId="10" xfId="1" applyNumberFormat="1" applyFont="1" applyFill="1" applyBorder="1" applyAlignment="1" applyProtection="1">
      <alignment horizontal="center" vertical="center"/>
      <protection locked="0"/>
    </xf>
    <xf numFmtId="1" fontId="12" fillId="4" borderId="37" xfId="1" applyNumberFormat="1" applyFont="1" applyFill="1" applyBorder="1" applyAlignment="1" applyProtection="1">
      <alignment horizontal="center" vertical="center"/>
      <protection locked="0"/>
    </xf>
    <xf numFmtId="0" fontId="12" fillId="4" borderId="39" xfId="1" applyFont="1" applyFill="1" applyBorder="1" applyAlignment="1" applyProtection="1">
      <alignment horizontal="center" vertical="center"/>
      <protection locked="0"/>
    </xf>
    <xf numFmtId="0" fontId="12" fillId="4" borderId="40" xfId="1" applyFont="1" applyFill="1" applyBorder="1" applyAlignment="1" applyProtection="1">
      <alignment horizontal="center" vertical="center"/>
      <protection locked="0"/>
    </xf>
    <xf numFmtId="0" fontId="12" fillId="4" borderId="11" xfId="1" applyFont="1" applyFill="1" applyBorder="1" applyAlignment="1" applyProtection="1">
      <alignment horizontal="center" vertical="center"/>
      <protection locked="0"/>
    </xf>
    <xf numFmtId="0" fontId="12" fillId="4" borderId="12" xfId="1" applyFont="1" applyFill="1" applyBorder="1" applyAlignment="1" applyProtection="1">
      <alignment horizontal="center" vertical="center"/>
      <protection locked="0"/>
    </xf>
    <xf numFmtId="0" fontId="13" fillId="0" borderId="0" xfId="1" applyFont="1" applyFill="1" applyBorder="1" applyAlignment="1" applyProtection="1">
      <alignment horizontal="left" vertical="center"/>
    </xf>
    <xf numFmtId="0" fontId="12" fillId="0" borderId="9" xfId="1" applyFont="1" applyFill="1" applyBorder="1" applyAlignment="1" applyProtection="1">
      <alignment horizontal="center" vertical="center" wrapText="1"/>
    </xf>
    <xf numFmtId="0" fontId="12" fillId="0" borderId="10" xfId="1" applyFont="1" applyFill="1" applyBorder="1" applyAlignment="1" applyProtection="1">
      <alignment horizontal="center" vertical="center" wrapText="1"/>
    </xf>
    <xf numFmtId="0" fontId="12" fillId="0" borderId="11" xfId="1" applyFont="1" applyFill="1" applyBorder="1" applyAlignment="1" applyProtection="1">
      <alignment horizontal="center" vertical="center" wrapText="1"/>
    </xf>
    <xf numFmtId="0" fontId="12" fillId="0" borderId="14" xfId="1" applyFont="1" applyFill="1" applyBorder="1" applyAlignment="1" applyProtection="1">
      <alignment horizontal="center" vertical="center"/>
    </xf>
    <xf numFmtId="0" fontId="12" fillId="0" borderId="14" xfId="1" applyFont="1" applyFill="1" applyBorder="1" applyAlignment="1" applyProtection="1">
      <alignment horizontal="center" vertical="center" wrapText="1"/>
    </xf>
    <xf numFmtId="0" fontId="13" fillId="2" borderId="16" xfId="1" applyFont="1" applyFill="1" applyBorder="1" applyAlignment="1" applyProtection="1">
      <alignment horizontal="center" vertical="center"/>
    </xf>
    <xf numFmtId="2" fontId="13" fillId="4" borderId="16" xfId="1" applyNumberFormat="1" applyFont="1" applyFill="1" applyBorder="1" applyAlignment="1" applyProtection="1">
      <alignment horizontal="center" vertical="center"/>
      <protection locked="0"/>
    </xf>
    <xf numFmtId="0" fontId="19" fillId="0" borderId="7" xfId="1" applyFont="1" applyFill="1" applyBorder="1" applyAlignment="1" applyProtection="1">
      <alignment horizontal="center" vertical="center" wrapText="1"/>
    </xf>
    <xf numFmtId="2" fontId="19" fillId="4" borderId="7" xfId="1" applyNumberFormat="1" applyFont="1" applyFill="1" applyBorder="1" applyAlignment="1" applyProtection="1">
      <alignment horizontal="center" vertical="center" wrapText="1"/>
      <protection locked="0"/>
    </xf>
    <xf numFmtId="0" fontId="12" fillId="4" borderId="7" xfId="1" applyFont="1" applyFill="1" applyBorder="1" applyAlignment="1" applyProtection="1">
      <alignment horizontal="center" vertical="center" wrapText="1"/>
      <protection locked="0"/>
    </xf>
    <xf numFmtId="0" fontId="12" fillId="0" borderId="7" xfId="1" applyFont="1" applyFill="1" applyBorder="1" applyAlignment="1" applyProtection="1">
      <alignment horizontal="center" vertical="center" wrapText="1"/>
    </xf>
    <xf numFmtId="164" fontId="12" fillId="4" borderId="7" xfId="1" applyNumberFormat="1" applyFont="1" applyFill="1" applyBorder="1" applyAlignment="1" applyProtection="1">
      <alignment horizontal="center" vertical="center" wrapText="1"/>
      <protection locked="0"/>
    </xf>
    <xf numFmtId="167" fontId="12" fillId="4" borderId="7" xfId="1" applyNumberFormat="1" applyFont="1" applyFill="1" applyBorder="1" applyAlignment="1" applyProtection="1">
      <alignment horizontal="center" vertical="center"/>
      <protection locked="0"/>
    </xf>
    <xf numFmtId="0" fontId="13" fillId="4" borderId="7" xfId="1" applyFont="1" applyFill="1" applyBorder="1" applyAlignment="1" applyProtection="1">
      <alignment horizontal="left" vertical="center"/>
      <protection locked="0"/>
    </xf>
    <xf numFmtId="0" fontId="0" fillId="0" borderId="7" xfId="0" applyBorder="1" applyAlignment="1">
      <alignment horizontal="left" vertical="center"/>
    </xf>
    <xf numFmtId="0" fontId="12" fillId="4" borderId="33" xfId="1" applyFont="1" applyFill="1" applyBorder="1" applyAlignment="1" applyProtection="1">
      <alignment horizontal="center" vertical="center"/>
      <protection locked="0"/>
    </xf>
    <xf numFmtId="0" fontId="12" fillId="4" borderId="35" xfId="1" applyFont="1" applyFill="1" applyBorder="1" applyAlignment="1" applyProtection="1">
      <alignment horizontal="center" vertical="center"/>
      <protection locked="0"/>
    </xf>
    <xf numFmtId="0" fontId="12" fillId="4" borderId="34" xfId="1" applyFont="1" applyFill="1" applyBorder="1" applyAlignment="1" applyProtection="1">
      <alignment horizontal="center" vertical="center"/>
      <protection locked="0"/>
    </xf>
    <xf numFmtId="14" fontId="13" fillId="4" borderId="7" xfId="1" quotePrefix="1" applyNumberFormat="1" applyFont="1" applyFill="1" applyBorder="1" applyAlignment="1" applyProtection="1">
      <alignment horizontal="left" vertical="center"/>
      <protection locked="0"/>
    </xf>
    <xf numFmtId="164" fontId="13" fillId="4" borderId="7" xfId="1" applyNumberFormat="1" applyFont="1" applyFill="1" applyBorder="1" applyAlignment="1" applyProtection="1">
      <alignment horizontal="left" vertical="center"/>
      <protection locked="0"/>
    </xf>
    <xf numFmtId="0" fontId="12" fillId="4" borderId="18" xfId="1" applyFont="1" applyFill="1" applyBorder="1" applyAlignment="1" applyProtection="1">
      <alignment horizontal="center" vertical="center"/>
      <protection locked="0"/>
    </xf>
    <xf numFmtId="0" fontId="12" fillId="4" borderId="20" xfId="1" applyFont="1" applyFill="1" applyBorder="1" applyAlignment="1" applyProtection="1">
      <alignment horizontal="center" vertical="center"/>
      <protection locked="0"/>
    </xf>
    <xf numFmtId="0" fontId="12" fillId="4" borderId="19" xfId="1" applyFont="1" applyFill="1" applyBorder="1" applyAlignment="1" applyProtection="1">
      <alignment horizontal="center" vertical="center"/>
      <protection locked="0"/>
    </xf>
    <xf numFmtId="0" fontId="14" fillId="0" borderId="25" xfId="1" applyFont="1" applyBorder="1" applyAlignment="1" applyProtection="1">
      <alignment horizontal="center" vertical="center"/>
    </xf>
    <xf numFmtId="0" fontId="14" fillId="0" borderId="26" xfId="1" applyFont="1" applyBorder="1" applyAlignment="1" applyProtection="1">
      <alignment horizontal="center" vertical="center"/>
    </xf>
    <xf numFmtId="0" fontId="12" fillId="2" borderId="28" xfId="1" applyFont="1" applyFill="1" applyBorder="1" applyAlignment="1" applyProtection="1">
      <alignment horizontal="left" vertical="center"/>
    </xf>
    <xf numFmtId="0" fontId="12" fillId="2" borderId="6" xfId="1" applyFont="1" applyFill="1" applyBorder="1" applyAlignment="1" applyProtection="1">
      <alignment horizontal="left" vertical="center"/>
    </xf>
    <xf numFmtId="49" fontId="12" fillId="4" borderId="17" xfId="1" applyNumberFormat="1" applyFont="1" applyFill="1" applyBorder="1" applyAlignment="1" applyProtection="1">
      <alignment horizontal="left" vertical="center" wrapText="1"/>
      <protection locked="0"/>
    </xf>
    <xf numFmtId="49" fontId="12" fillId="4" borderId="7" xfId="1" applyNumberFormat="1" applyFont="1" applyFill="1" applyBorder="1" applyAlignment="1" applyProtection="1">
      <alignment horizontal="left" vertical="center" wrapText="1"/>
      <protection locked="0"/>
    </xf>
    <xf numFmtId="0" fontId="13" fillId="4" borderId="17" xfId="1" applyFont="1" applyFill="1" applyBorder="1" applyAlignment="1" applyProtection="1">
      <alignment horizontal="left" vertical="center"/>
      <protection locked="0"/>
    </xf>
    <xf numFmtId="0" fontId="13" fillId="4" borderId="29" xfId="1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colors>
    <mruColors>
      <color rgb="FFB5C7F9"/>
      <color rgb="FF97A2F1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356534</xdr:colOff>
      <xdr:row>12</xdr:row>
      <xdr:rowOff>226546</xdr:rowOff>
    </xdr:from>
    <xdr:to>
      <xdr:col>3</xdr:col>
      <xdr:colOff>813734</xdr:colOff>
      <xdr:row>12</xdr:row>
      <xdr:rowOff>226546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5490509" y="5189071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393700</xdr:colOff>
      <xdr:row>12</xdr:row>
      <xdr:rowOff>203200</xdr:rowOff>
    </xdr:from>
    <xdr:to>
      <xdr:col>7</xdr:col>
      <xdr:colOff>850900</xdr:colOff>
      <xdr:row>12</xdr:row>
      <xdr:rowOff>203200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10261600" y="51657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11</xdr:col>
      <xdr:colOff>292100</xdr:colOff>
      <xdr:row>12</xdr:row>
      <xdr:rowOff>190500</xdr:rowOff>
    </xdr:from>
    <xdr:to>
      <xdr:col>11</xdr:col>
      <xdr:colOff>749300</xdr:colOff>
      <xdr:row>12</xdr:row>
      <xdr:rowOff>190500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14817725" y="5153025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447222</xdr:colOff>
      <xdr:row>34</xdr:row>
      <xdr:rowOff>205921</xdr:rowOff>
    </xdr:from>
    <xdr:to>
      <xdr:col>2</xdr:col>
      <xdr:colOff>904422</xdr:colOff>
      <xdr:row>34</xdr:row>
      <xdr:rowOff>205921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4238172" y="15007771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1.220\ANDA_Hinj\anda_hinj\TEAM2000\Pramanick\Loratadine\LORta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"/>
      <sheetName val="0.5-SLS"/>
      <sheetName val="2.1-SGF"/>
      <sheetName val="0.1N Hcl"/>
      <sheetName val="4.0Acetate"/>
      <sheetName val="stab"/>
      <sheetName val="Diss-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89"/>
  <sheetViews>
    <sheetView showGridLines="0" tabSelected="1" zoomScale="55" zoomScaleNormal="55" zoomScaleSheetLayoutView="55" workbookViewId="0">
      <selection activeCell="E24" sqref="E24"/>
    </sheetView>
  </sheetViews>
  <sheetFormatPr defaultColWidth="9.140625" defaultRowHeight="15" customHeight="1" x14ac:dyDescent="0.25"/>
  <cols>
    <col min="1" max="1" width="34.5703125" style="1" customWidth="1"/>
    <col min="2" max="2" width="22.28515625" style="1" customWidth="1"/>
    <col min="3" max="3" width="20.140625" style="1" customWidth="1"/>
    <col min="4" max="4" width="18.85546875" style="1" customWidth="1"/>
    <col min="5" max="5" width="17.85546875" style="1" customWidth="1"/>
    <col min="6" max="6" width="17.5703125" style="1" customWidth="1"/>
    <col min="7" max="7" width="16.7109375" style="1" customWidth="1"/>
    <col min="8" max="8" width="18.28515625" style="1" customWidth="1"/>
    <col min="9" max="9" width="16.42578125" style="1" customWidth="1"/>
    <col min="10" max="10" width="19.5703125" style="1" customWidth="1"/>
    <col min="11" max="11" width="17.5703125" style="1" customWidth="1"/>
    <col min="12" max="13" width="20.5703125" style="1" customWidth="1"/>
    <col min="14" max="14" width="19.140625" style="1" customWidth="1"/>
    <col min="15" max="15" width="14.85546875" style="1" customWidth="1"/>
    <col min="16" max="16" width="18.42578125" style="1" bestFit="1" customWidth="1"/>
    <col min="17" max="17" width="14.7109375" style="1" customWidth="1"/>
    <col min="18" max="18" width="23" style="1" customWidth="1"/>
    <col min="19" max="16384" width="9.140625" style="1"/>
  </cols>
  <sheetData>
    <row r="1" spans="1:20" ht="60.75" customHeight="1" thickBot="1" x14ac:dyDescent="0.3">
      <c r="A1" s="273" t="s">
        <v>128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114" t="s">
        <v>76</v>
      </c>
    </row>
    <row r="2" spans="1:20" s="3" customFormat="1" ht="30" customHeight="1" x14ac:dyDescent="0.25">
      <c r="A2" s="275" t="s">
        <v>1</v>
      </c>
      <c r="B2" s="277" t="s">
        <v>94</v>
      </c>
      <c r="C2" s="277"/>
      <c r="D2" s="277"/>
      <c r="E2" s="277"/>
      <c r="F2" s="277"/>
      <c r="G2" s="277"/>
      <c r="H2" s="277"/>
      <c r="I2" s="46"/>
      <c r="J2" s="73" t="s">
        <v>71</v>
      </c>
      <c r="K2" s="279" t="s">
        <v>102</v>
      </c>
      <c r="L2" s="279"/>
      <c r="M2" s="279"/>
      <c r="N2" s="279"/>
      <c r="O2" s="279"/>
      <c r="P2" s="279"/>
      <c r="Q2" s="279"/>
      <c r="R2" s="280"/>
      <c r="S2" s="2"/>
      <c r="T2" s="2"/>
    </row>
    <row r="3" spans="1:20" s="3" customFormat="1" ht="30" customHeight="1" x14ac:dyDescent="0.25">
      <c r="A3" s="276"/>
      <c r="B3" s="278"/>
      <c r="C3" s="278"/>
      <c r="D3" s="278"/>
      <c r="E3" s="278"/>
      <c r="F3" s="278"/>
      <c r="G3" s="278"/>
      <c r="H3" s="278"/>
      <c r="I3" s="46"/>
      <c r="J3" s="47" t="s">
        <v>0</v>
      </c>
      <c r="K3" s="263" t="s">
        <v>105</v>
      </c>
      <c r="L3" s="263"/>
      <c r="M3" s="263"/>
      <c r="N3" s="263"/>
      <c r="O3" s="263"/>
      <c r="P3" s="263"/>
      <c r="Q3" s="263"/>
      <c r="R3" s="263"/>
    </row>
    <row r="4" spans="1:20" s="3" customFormat="1" ht="30" customHeight="1" x14ac:dyDescent="0.25">
      <c r="A4" s="49" t="s">
        <v>73</v>
      </c>
      <c r="B4" s="269">
        <v>2</v>
      </c>
      <c r="C4" s="269"/>
      <c r="D4" s="269"/>
      <c r="E4" s="269"/>
      <c r="F4" s="269"/>
      <c r="G4" s="269"/>
      <c r="H4" s="269"/>
      <c r="I4" s="46"/>
      <c r="J4" s="47" t="s">
        <v>2</v>
      </c>
      <c r="K4" s="117">
        <v>75</v>
      </c>
      <c r="L4" s="46"/>
      <c r="M4" s="118" t="s">
        <v>92</v>
      </c>
      <c r="N4" s="270"/>
      <c r="O4" s="271"/>
      <c r="P4" s="271"/>
      <c r="Q4" s="272"/>
      <c r="R4" s="48"/>
    </row>
    <row r="5" spans="1:20" s="3" customFormat="1" ht="30" customHeight="1" x14ac:dyDescent="0.25">
      <c r="A5" s="49" t="s">
        <v>75</v>
      </c>
      <c r="B5" s="263" t="s">
        <v>95</v>
      </c>
      <c r="C5" s="263"/>
      <c r="D5" s="263"/>
      <c r="E5" s="264"/>
      <c r="F5" s="264"/>
      <c r="G5" s="264"/>
      <c r="H5" s="264"/>
      <c r="I5" s="46"/>
      <c r="J5" s="47" t="s">
        <v>74</v>
      </c>
      <c r="K5" s="100" t="s">
        <v>106</v>
      </c>
      <c r="L5" s="46"/>
      <c r="M5" s="97" t="s">
        <v>93</v>
      </c>
      <c r="N5" s="265"/>
      <c r="O5" s="266"/>
      <c r="P5" s="266"/>
      <c r="Q5" s="267"/>
      <c r="R5" s="48"/>
    </row>
    <row r="6" spans="1:20" s="3" customFormat="1" ht="30" customHeight="1" x14ac:dyDescent="0.25">
      <c r="A6" s="49" t="s">
        <v>5</v>
      </c>
      <c r="B6" s="263" t="s">
        <v>91</v>
      </c>
      <c r="C6" s="263"/>
      <c r="D6" s="263"/>
      <c r="E6" s="264"/>
      <c r="F6" s="264"/>
      <c r="G6" s="264"/>
      <c r="H6" s="264"/>
      <c r="I6" s="50"/>
      <c r="J6" s="146"/>
      <c r="K6" s="51"/>
      <c r="L6" s="46"/>
      <c r="M6" s="97" t="s">
        <v>4</v>
      </c>
      <c r="N6" s="265" t="s">
        <v>103</v>
      </c>
      <c r="O6" s="266"/>
      <c r="P6" s="266"/>
      <c r="Q6" s="267"/>
      <c r="R6" s="48"/>
    </row>
    <row r="7" spans="1:20" s="3" customFormat="1" ht="30" customHeight="1" x14ac:dyDescent="0.25">
      <c r="A7" s="49" t="s">
        <v>70</v>
      </c>
      <c r="B7" s="268" t="s">
        <v>125</v>
      </c>
      <c r="C7" s="264"/>
      <c r="D7" s="264"/>
      <c r="E7" s="264"/>
      <c r="F7" s="264"/>
      <c r="G7" s="264"/>
      <c r="H7" s="264"/>
      <c r="I7" s="50"/>
      <c r="J7" s="146"/>
      <c r="K7" s="51"/>
      <c r="L7" s="46"/>
      <c r="M7" s="160"/>
      <c r="N7" s="249"/>
      <c r="O7" s="249"/>
      <c r="P7" s="249"/>
      <c r="Q7" s="249"/>
      <c r="R7" s="48"/>
    </row>
    <row r="8" spans="1:20" s="3" customFormat="1" ht="30" customHeight="1" x14ac:dyDescent="0.25">
      <c r="A8" s="79"/>
      <c r="B8" s="80"/>
      <c r="C8" s="80"/>
      <c r="D8" s="80"/>
      <c r="E8" s="50"/>
      <c r="F8" s="2"/>
      <c r="G8" s="2"/>
      <c r="H8" s="2"/>
      <c r="I8" s="2"/>
      <c r="J8" s="257" t="s">
        <v>80</v>
      </c>
      <c r="K8" s="257"/>
      <c r="L8" s="258" t="s">
        <v>104</v>
      </c>
      <c r="M8" s="258"/>
      <c r="N8" s="258"/>
      <c r="O8" s="258"/>
      <c r="P8" s="258"/>
      <c r="Q8" s="258"/>
      <c r="R8" s="48"/>
    </row>
    <row r="9" spans="1:20" s="3" customFormat="1" ht="30" customHeight="1" x14ac:dyDescent="0.25">
      <c r="A9" s="150" t="s">
        <v>69</v>
      </c>
      <c r="B9" s="259" t="s">
        <v>127</v>
      </c>
      <c r="C9" s="259"/>
      <c r="D9" s="259"/>
      <c r="E9" s="50"/>
      <c r="F9" s="260" t="s">
        <v>58</v>
      </c>
      <c r="G9" s="260"/>
      <c r="H9" s="260"/>
      <c r="I9" s="2"/>
      <c r="J9" s="257"/>
      <c r="K9" s="257"/>
      <c r="L9" s="258"/>
      <c r="M9" s="258"/>
      <c r="N9" s="258"/>
      <c r="O9" s="258"/>
      <c r="P9" s="258"/>
      <c r="Q9" s="258"/>
      <c r="R9" s="48"/>
    </row>
    <row r="10" spans="1:20" s="3" customFormat="1" ht="30" customHeight="1" x14ac:dyDescent="0.25">
      <c r="A10" s="88" t="s">
        <v>67</v>
      </c>
      <c r="B10" s="261">
        <v>99.6</v>
      </c>
      <c r="C10" s="261"/>
      <c r="D10" s="261"/>
      <c r="E10" s="50"/>
      <c r="F10" s="262">
        <v>1.0313000000000001</v>
      </c>
      <c r="G10" s="262"/>
      <c r="H10" s="262"/>
      <c r="I10" s="2"/>
      <c r="J10" s="257"/>
      <c r="K10" s="257"/>
      <c r="L10" s="258"/>
      <c r="M10" s="258"/>
      <c r="N10" s="258"/>
      <c r="O10" s="258"/>
      <c r="P10" s="258"/>
      <c r="Q10" s="258"/>
      <c r="R10" s="48"/>
    </row>
    <row r="11" spans="1:20" s="3" customFormat="1" ht="30" customHeight="1" thickBot="1" x14ac:dyDescent="0.3">
      <c r="A11" s="52"/>
      <c r="B11" s="53"/>
      <c r="C11" s="54"/>
      <c r="D11" s="54"/>
      <c r="E11" s="55"/>
      <c r="F11" s="56"/>
      <c r="G11" s="57"/>
      <c r="H11" s="57"/>
      <c r="I11" s="55"/>
      <c r="J11" s="54"/>
      <c r="K11" s="58"/>
      <c r="L11" s="59"/>
      <c r="M11" s="160"/>
      <c r="N11" s="249"/>
      <c r="O11" s="249"/>
      <c r="P11" s="249"/>
      <c r="Q11" s="249"/>
      <c r="R11" s="61"/>
    </row>
    <row r="12" spans="1:20" ht="30" customHeight="1" x14ac:dyDescent="0.25">
      <c r="A12" s="250" t="s">
        <v>6</v>
      </c>
      <c r="B12" s="241" t="s">
        <v>7</v>
      </c>
      <c r="C12" s="141" t="s">
        <v>8</v>
      </c>
      <c r="D12" s="253" t="s">
        <v>9</v>
      </c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4" t="s">
        <v>65</v>
      </c>
      <c r="Q12" s="254"/>
      <c r="R12" s="155" t="s">
        <v>64</v>
      </c>
    </row>
    <row r="13" spans="1:20" s="3" customFormat="1" ht="30" customHeight="1" thickBot="1" x14ac:dyDescent="0.3">
      <c r="A13" s="251"/>
      <c r="B13" s="252"/>
      <c r="C13" s="42">
        <v>30.11</v>
      </c>
      <c r="D13" s="62" t="s">
        <v>10</v>
      </c>
      <c r="E13" s="145">
        <v>100</v>
      </c>
      <c r="F13" s="149" t="s">
        <v>11</v>
      </c>
      <c r="G13" s="145">
        <v>5</v>
      </c>
      <c r="H13" s="62" t="s">
        <v>63</v>
      </c>
      <c r="I13" s="145">
        <v>50</v>
      </c>
      <c r="J13" s="149" t="s">
        <v>25</v>
      </c>
      <c r="K13" s="145">
        <v>5</v>
      </c>
      <c r="L13" s="62" t="s">
        <v>12</v>
      </c>
      <c r="M13" s="145">
        <v>10</v>
      </c>
      <c r="N13" s="255" t="s">
        <v>13</v>
      </c>
      <c r="O13" s="255"/>
      <c r="P13" s="256">
        <v>100</v>
      </c>
      <c r="Q13" s="256"/>
      <c r="R13" s="43">
        <f>ROUND(C13/E13*G13/I13*K13/M13*P13/100*1000,3)</f>
        <v>15.055</v>
      </c>
    </row>
    <row r="14" spans="1:20" s="3" customFormat="1" ht="30" customHeight="1" thickBot="1" x14ac:dyDescent="0.3">
      <c r="A14" s="63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8"/>
    </row>
    <row r="15" spans="1:20" s="3" customFormat="1" ht="30" customHeight="1" x14ac:dyDescent="0.25">
      <c r="A15" s="199" t="s">
        <v>57</v>
      </c>
      <c r="B15" s="142" t="s">
        <v>14</v>
      </c>
      <c r="C15" s="142" t="s">
        <v>26</v>
      </c>
      <c r="D15" s="142" t="s">
        <v>27</v>
      </c>
      <c r="E15" s="142" t="s">
        <v>28</v>
      </c>
      <c r="F15" s="142" t="s">
        <v>29</v>
      </c>
      <c r="G15" s="142" t="s">
        <v>30</v>
      </c>
      <c r="H15" s="142" t="s">
        <v>31</v>
      </c>
      <c r="I15" s="155" t="s">
        <v>16</v>
      </c>
      <c r="J15" s="22"/>
      <c r="K15" s="241" t="s">
        <v>88</v>
      </c>
      <c r="L15" s="242"/>
      <c r="M15" s="31"/>
      <c r="N15" s="241" t="s">
        <v>89</v>
      </c>
      <c r="O15" s="242"/>
      <c r="P15" s="33"/>
      <c r="Q15" s="241" t="s">
        <v>90</v>
      </c>
      <c r="R15" s="242"/>
    </row>
    <row r="16" spans="1:20" s="3" customFormat="1" ht="30" customHeight="1" thickBot="1" x14ac:dyDescent="0.3">
      <c r="A16" s="240"/>
      <c r="B16" s="60" t="s">
        <v>17</v>
      </c>
      <c r="C16" s="99">
        <v>1299388</v>
      </c>
      <c r="D16" s="99">
        <v>1284245</v>
      </c>
      <c r="E16" s="99">
        <v>1289430</v>
      </c>
      <c r="F16" s="99">
        <v>1289886</v>
      </c>
      <c r="G16" s="99">
        <v>1287196</v>
      </c>
      <c r="H16" s="153">
        <f>IFERROR((AVERAGE(C16:G16)), "")</f>
        <v>1290029</v>
      </c>
      <c r="I16" s="144">
        <f>IFERROR((TRUNC(STDEV(C16:G16)/H16*100,5)), "")</f>
        <v>0.44097999999999998</v>
      </c>
      <c r="J16" s="22"/>
      <c r="K16" s="243" t="s">
        <v>126</v>
      </c>
      <c r="L16" s="244"/>
      <c r="M16" s="143"/>
      <c r="N16" s="245" t="s">
        <v>141</v>
      </c>
      <c r="O16" s="246"/>
      <c r="P16" s="33"/>
      <c r="Q16" s="247" t="s">
        <v>142</v>
      </c>
      <c r="R16" s="248"/>
    </row>
    <row r="17" spans="1:18" s="3" customFormat="1" ht="30" customHeight="1" thickBot="1" x14ac:dyDescent="0.3">
      <c r="A17" s="19"/>
      <c r="B17" s="16"/>
      <c r="C17" s="16"/>
      <c r="D17" s="16"/>
      <c r="E17" s="16"/>
      <c r="F17" s="20"/>
      <c r="G17" s="16"/>
      <c r="H17" s="16"/>
      <c r="I17" s="21"/>
      <c r="J17" s="16"/>
      <c r="K17" s="20"/>
      <c r="L17" s="20"/>
      <c r="M17" s="26"/>
      <c r="N17" s="232" t="s">
        <v>111</v>
      </c>
      <c r="O17" s="232" t="s">
        <v>112</v>
      </c>
      <c r="P17" s="232"/>
      <c r="Q17" s="16"/>
      <c r="R17" s="17"/>
    </row>
    <row r="18" spans="1:18" s="3" customFormat="1" ht="30" customHeight="1" x14ac:dyDescent="0.25">
      <c r="A18" s="199" t="s">
        <v>56</v>
      </c>
      <c r="B18" s="78" t="s">
        <v>32</v>
      </c>
      <c r="C18" s="78" t="s">
        <v>33</v>
      </c>
      <c r="D18" s="78" t="s">
        <v>34</v>
      </c>
      <c r="E18" s="78" t="s">
        <v>35</v>
      </c>
      <c r="F18" s="78" t="s">
        <v>36</v>
      </c>
      <c r="G18" s="78" t="s">
        <v>37</v>
      </c>
      <c r="H18" s="78" t="s">
        <v>31</v>
      </c>
      <c r="I18" s="72" t="s">
        <v>16</v>
      </c>
      <c r="J18" s="22"/>
      <c r="K18" s="132" t="s">
        <v>108</v>
      </c>
      <c r="L18" s="132" t="s">
        <v>10</v>
      </c>
      <c r="M18" s="20"/>
      <c r="N18" s="232"/>
      <c r="O18" s="140" t="s">
        <v>113</v>
      </c>
      <c r="P18" s="140" t="s">
        <v>114</v>
      </c>
      <c r="Q18" s="16"/>
      <c r="R18" s="17"/>
    </row>
    <row r="19" spans="1:18" s="3" customFormat="1" ht="30" customHeight="1" thickBot="1" x14ac:dyDescent="0.3">
      <c r="A19" s="233"/>
      <c r="B19" s="100">
        <v>1289948</v>
      </c>
      <c r="C19" s="100">
        <v>1317112</v>
      </c>
      <c r="D19" s="100"/>
      <c r="E19" s="100"/>
      <c r="F19" s="100"/>
      <c r="G19" s="100"/>
      <c r="H19" s="234">
        <f>IFERROR((TRUNC(AVERAGE(C16:G16,B19:G19,B21:G21,B23:G23,B25:G25),1)), "")</f>
        <v>1293886.3999999999</v>
      </c>
      <c r="I19" s="220">
        <f>IFERROR((TRUNC(STDEV(C16:G16,B19:G19,B21:G21,B23:G23,B25:G25)/H19*100,5)), "")</f>
        <v>0.86912999999999996</v>
      </c>
      <c r="J19" s="22"/>
      <c r="K19" s="128" t="s">
        <v>109</v>
      </c>
      <c r="L19" s="133">
        <f>C13</f>
        <v>30.11</v>
      </c>
      <c r="M19" s="20"/>
      <c r="N19" s="128">
        <v>1</v>
      </c>
      <c r="O19" s="130">
        <f>C16</f>
        <v>1299388</v>
      </c>
      <c r="P19" s="99">
        <v>1281451</v>
      </c>
      <c r="Q19" s="16"/>
      <c r="R19" s="17"/>
    </row>
    <row r="20" spans="1:18" s="3" customFormat="1" ht="30" customHeight="1" thickBot="1" x14ac:dyDescent="0.3">
      <c r="A20" s="233"/>
      <c r="B20" s="140" t="s">
        <v>38</v>
      </c>
      <c r="C20" s="140" t="s">
        <v>39</v>
      </c>
      <c r="D20" s="140" t="s">
        <v>40</v>
      </c>
      <c r="E20" s="140" t="s">
        <v>41</v>
      </c>
      <c r="F20" s="140" t="s">
        <v>42</v>
      </c>
      <c r="G20" s="140" t="s">
        <v>43</v>
      </c>
      <c r="H20" s="234"/>
      <c r="I20" s="220"/>
      <c r="J20" s="22"/>
      <c r="K20" s="128" t="s">
        <v>110</v>
      </c>
      <c r="L20" s="154">
        <v>30.02</v>
      </c>
      <c r="M20" s="20"/>
      <c r="N20" s="128">
        <v>2</v>
      </c>
      <c r="O20" s="131">
        <f>D16</f>
        <v>1284245</v>
      </c>
      <c r="P20" s="99">
        <v>1286859</v>
      </c>
      <c r="Q20" s="16"/>
      <c r="R20" s="17"/>
    </row>
    <row r="21" spans="1:18" s="3" customFormat="1" ht="30" customHeight="1" x14ac:dyDescent="0.25">
      <c r="A21" s="233"/>
      <c r="B21" s="100"/>
      <c r="C21" s="100"/>
      <c r="D21" s="100"/>
      <c r="E21" s="100"/>
      <c r="F21" s="100"/>
      <c r="G21" s="100"/>
      <c r="H21" s="234"/>
      <c r="I21" s="220"/>
      <c r="J21" s="22"/>
      <c r="K21" s="20"/>
      <c r="L21" s="20"/>
      <c r="M21" s="20"/>
      <c r="N21" s="128">
        <v>3</v>
      </c>
      <c r="O21" s="131">
        <f>E16</f>
        <v>1289430</v>
      </c>
      <c r="P21" s="129"/>
      <c r="Q21" s="16"/>
      <c r="R21" s="17"/>
    </row>
    <row r="22" spans="1:18" s="3" customFormat="1" ht="30" customHeight="1" x14ac:dyDescent="0.25">
      <c r="A22" s="233"/>
      <c r="B22" s="140" t="s">
        <v>44</v>
      </c>
      <c r="C22" s="140" t="s">
        <v>45</v>
      </c>
      <c r="D22" s="140" t="s">
        <v>46</v>
      </c>
      <c r="E22" s="140" t="s">
        <v>47</v>
      </c>
      <c r="F22" s="140" t="s">
        <v>48</v>
      </c>
      <c r="G22" s="140" t="s">
        <v>49</v>
      </c>
      <c r="H22" s="234"/>
      <c r="I22" s="220"/>
      <c r="J22" s="22"/>
      <c r="K22" s="20"/>
      <c r="L22" s="20"/>
      <c r="M22" s="20"/>
      <c r="N22" s="128">
        <v>4</v>
      </c>
      <c r="O22" s="131">
        <f>F16</f>
        <v>1289886</v>
      </c>
      <c r="P22" s="129"/>
      <c r="Q22" s="16"/>
      <c r="R22" s="17"/>
    </row>
    <row r="23" spans="1:18" s="3" customFormat="1" ht="30" customHeight="1" thickBot="1" x14ac:dyDescent="0.3">
      <c r="A23" s="233"/>
      <c r="B23" s="99"/>
      <c r="C23" s="99"/>
      <c r="D23" s="99"/>
      <c r="E23" s="99"/>
      <c r="F23" s="99"/>
      <c r="G23" s="100"/>
      <c r="H23" s="234"/>
      <c r="I23" s="220"/>
      <c r="J23" s="22"/>
      <c r="K23" s="20"/>
      <c r="L23" s="20"/>
      <c r="M23" s="20"/>
      <c r="N23" s="128">
        <v>5</v>
      </c>
      <c r="O23" s="131">
        <f>G16</f>
        <v>1287196</v>
      </c>
      <c r="P23" s="129"/>
      <c r="Q23" s="16"/>
      <c r="R23" s="17"/>
    </row>
    <row r="24" spans="1:18" s="3" customFormat="1" ht="30" customHeight="1" x14ac:dyDescent="0.25">
      <c r="A24" s="233"/>
      <c r="B24" s="140" t="s">
        <v>50</v>
      </c>
      <c r="C24" s="140" t="s">
        <v>51</v>
      </c>
      <c r="D24" s="140" t="s">
        <v>52</v>
      </c>
      <c r="E24" s="140" t="s">
        <v>53</v>
      </c>
      <c r="F24" s="140" t="s">
        <v>54</v>
      </c>
      <c r="G24" s="140" t="s">
        <v>55</v>
      </c>
      <c r="H24" s="234"/>
      <c r="I24" s="220"/>
      <c r="J24" s="22"/>
      <c r="K24" s="20"/>
      <c r="L24" s="20"/>
      <c r="M24" s="20"/>
      <c r="N24" s="128" t="s">
        <v>31</v>
      </c>
      <c r="O24" s="152">
        <f>IFERROR(AVERAGE(O19:O21),"")</f>
        <v>1291021</v>
      </c>
      <c r="P24" s="152">
        <f>AVERAGE(P19:P20)</f>
        <v>1284155</v>
      </c>
      <c r="Q24" s="16"/>
      <c r="R24" s="17"/>
    </row>
    <row r="25" spans="1:18" s="3" customFormat="1" ht="30" customHeight="1" thickBot="1" x14ac:dyDescent="0.3">
      <c r="A25" s="210"/>
      <c r="B25" s="99"/>
      <c r="C25" s="99"/>
      <c r="D25" s="99"/>
      <c r="E25" s="99"/>
      <c r="F25" s="99"/>
      <c r="G25" s="99"/>
      <c r="H25" s="235"/>
      <c r="I25" s="224"/>
      <c r="J25" s="22"/>
      <c r="K25" s="20"/>
      <c r="L25" s="20"/>
      <c r="M25" s="20"/>
      <c r="N25" s="236" t="s">
        <v>115</v>
      </c>
      <c r="O25" s="236"/>
      <c r="P25" s="238">
        <f>O24/P24*L20/L19</f>
        <v>1.0023416848823155</v>
      </c>
      <c r="Q25" s="16"/>
      <c r="R25" s="17"/>
    </row>
    <row r="26" spans="1:18" s="3" customFormat="1" ht="30" customHeight="1" thickBot="1" x14ac:dyDescent="0.3">
      <c r="A26" s="23"/>
      <c r="B26" s="21"/>
      <c r="C26" s="21"/>
      <c r="D26" s="21"/>
      <c r="E26" s="21"/>
      <c r="F26" s="21"/>
      <c r="G26" s="21"/>
      <c r="H26" s="24"/>
      <c r="I26" s="25"/>
      <c r="J26" s="115"/>
      <c r="K26" s="20"/>
      <c r="L26" s="20"/>
      <c r="M26" s="20"/>
      <c r="N26" s="237"/>
      <c r="O26" s="237"/>
      <c r="P26" s="239"/>
      <c r="Q26" s="16"/>
      <c r="R26" s="17"/>
    </row>
    <row r="27" spans="1:18" s="3" customFormat="1" ht="45" customHeight="1" x14ac:dyDescent="0.25">
      <c r="A27" s="225" t="s">
        <v>18</v>
      </c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26" t="s">
        <v>19</v>
      </c>
      <c r="P27" s="227"/>
      <c r="Q27" s="16"/>
      <c r="R27" s="17"/>
    </row>
    <row r="28" spans="1:18" s="3" customFormat="1" ht="48.75" customHeight="1" x14ac:dyDescent="0.25">
      <c r="A28" s="215" t="s">
        <v>96</v>
      </c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28" t="s">
        <v>107</v>
      </c>
      <c r="P28" s="229"/>
      <c r="Q28" s="16"/>
      <c r="R28" s="17"/>
    </row>
    <row r="29" spans="1:18" s="3" customFormat="1" ht="44.25" customHeight="1" x14ac:dyDescent="0.25">
      <c r="A29" s="215" t="s">
        <v>98</v>
      </c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30"/>
      <c r="P29" s="231"/>
      <c r="Q29" s="16"/>
      <c r="R29" s="17"/>
    </row>
    <row r="30" spans="1:18" s="3" customFormat="1" ht="45" customHeight="1" x14ac:dyDescent="0.25">
      <c r="A30" s="215" t="s">
        <v>97</v>
      </c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7"/>
      <c r="P30" s="218"/>
      <c r="Q30" s="16"/>
      <c r="R30" s="17"/>
    </row>
    <row r="31" spans="1:18" s="3" customFormat="1" ht="48.75" customHeight="1" x14ac:dyDescent="0.25">
      <c r="A31" s="215" t="s">
        <v>99</v>
      </c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9">
        <f>I16</f>
        <v>0.44097999999999998</v>
      </c>
      <c r="P31" s="220"/>
      <c r="Q31" s="16"/>
      <c r="R31" s="17"/>
    </row>
    <row r="32" spans="1:18" s="3" customFormat="1" ht="48" customHeight="1" thickBot="1" x14ac:dyDescent="0.3">
      <c r="A32" s="221" t="s">
        <v>100</v>
      </c>
      <c r="B32" s="222"/>
      <c r="C32" s="222"/>
      <c r="D32" s="222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3">
        <f>I19</f>
        <v>0.86912999999999996</v>
      </c>
      <c r="P32" s="224"/>
      <c r="Q32" s="16"/>
      <c r="R32" s="17"/>
    </row>
    <row r="33" spans="1:18" s="3" customFormat="1" ht="30" customHeight="1" thickBot="1" x14ac:dyDescent="0.3">
      <c r="A33" s="19"/>
      <c r="B33" s="16"/>
      <c r="C33" s="16"/>
      <c r="D33" s="16"/>
      <c r="E33" s="16"/>
      <c r="F33" s="20"/>
      <c r="G33" s="16"/>
      <c r="H33" s="16"/>
      <c r="I33" s="21"/>
      <c r="J33" s="16"/>
      <c r="K33" s="16"/>
      <c r="L33" s="16"/>
      <c r="M33" s="26"/>
      <c r="N33" s="26"/>
      <c r="O33" s="21"/>
      <c r="P33" s="16"/>
      <c r="Q33" s="16"/>
      <c r="R33" s="17"/>
    </row>
    <row r="34" spans="1:18" s="3" customFormat="1" ht="45" customHeight="1" x14ac:dyDescent="0.25">
      <c r="A34" s="199" t="s">
        <v>68</v>
      </c>
      <c r="B34" s="200" t="s">
        <v>101</v>
      </c>
      <c r="C34" s="200"/>
      <c r="D34" s="211" t="s">
        <v>59</v>
      </c>
      <c r="E34" s="212"/>
      <c r="F34" s="213" t="s">
        <v>60</v>
      </c>
      <c r="G34" s="214"/>
      <c r="H34" s="201" t="s">
        <v>61</v>
      </c>
      <c r="I34" s="200"/>
      <c r="J34" s="201" t="s">
        <v>62</v>
      </c>
      <c r="K34" s="209"/>
      <c r="L34" s="16"/>
      <c r="M34" s="199" t="s">
        <v>3</v>
      </c>
      <c r="N34" s="200"/>
      <c r="O34" s="201" t="s">
        <v>72</v>
      </c>
      <c r="P34" s="202"/>
      <c r="Q34" s="64"/>
      <c r="R34" s="116"/>
    </row>
    <row r="35" spans="1:18" s="3" customFormat="1" ht="106.5" customHeight="1" thickBot="1" x14ac:dyDescent="0.3">
      <c r="A35" s="210"/>
      <c r="B35" s="203">
        <v>1</v>
      </c>
      <c r="C35" s="203"/>
      <c r="D35" s="204">
        <v>600</v>
      </c>
      <c r="E35" s="204"/>
      <c r="F35" s="205">
        <v>610</v>
      </c>
      <c r="G35" s="205"/>
      <c r="H35" s="206">
        <v>3</v>
      </c>
      <c r="I35" s="206"/>
      <c r="J35" s="206">
        <v>6</v>
      </c>
      <c r="K35" s="207"/>
      <c r="L35" s="16"/>
      <c r="M35" s="208">
        <v>10</v>
      </c>
      <c r="N35" s="206"/>
      <c r="O35" s="206">
        <v>10</v>
      </c>
      <c r="P35" s="207"/>
      <c r="Q35" s="16"/>
      <c r="R35" s="116"/>
    </row>
    <row r="36" spans="1:18" s="3" customFormat="1" ht="20.25" hidden="1" customHeight="1" x14ac:dyDescent="0.25">
      <c r="A36" s="158"/>
      <c r="B36" s="74"/>
      <c r="C36" s="74"/>
      <c r="D36" s="74"/>
      <c r="E36" s="74"/>
      <c r="F36" s="51"/>
      <c r="G36" s="51"/>
      <c r="H36" s="74"/>
      <c r="I36" s="74"/>
      <c r="J36" s="74"/>
      <c r="K36" s="74"/>
      <c r="L36" s="75"/>
      <c r="M36" s="65"/>
      <c r="N36" s="65"/>
      <c r="O36" s="65"/>
      <c r="P36" s="65"/>
      <c r="Q36" s="16"/>
      <c r="R36" s="76"/>
    </row>
    <row r="37" spans="1:18" s="3" customFormat="1" ht="46.5" customHeight="1" thickBot="1" x14ac:dyDescent="0.3">
      <c r="A37" s="89"/>
      <c r="B37" s="90"/>
      <c r="C37" s="90"/>
      <c r="D37" s="91"/>
      <c r="E37" s="91"/>
      <c r="F37" s="92"/>
      <c r="G37" s="92"/>
      <c r="H37" s="91"/>
      <c r="I37" s="91"/>
      <c r="J37" s="91"/>
      <c r="K37" s="91"/>
      <c r="L37" s="93"/>
      <c r="M37" s="93"/>
      <c r="N37" s="94"/>
      <c r="O37" s="94"/>
      <c r="P37" s="176" t="s">
        <v>77</v>
      </c>
      <c r="Q37" s="176"/>
      <c r="R37" s="177"/>
    </row>
    <row r="38" spans="1:18" s="3" customFormat="1" ht="50.25" customHeight="1" x14ac:dyDescent="0.25">
      <c r="A38" s="81"/>
      <c r="B38" s="82"/>
      <c r="C38" s="82"/>
      <c r="D38" s="83"/>
      <c r="E38" s="83"/>
      <c r="F38" s="84"/>
      <c r="G38" s="84"/>
      <c r="H38" s="83"/>
      <c r="I38" s="83"/>
      <c r="J38" s="83"/>
      <c r="K38" s="83"/>
      <c r="L38" s="85"/>
      <c r="M38" s="85"/>
      <c r="N38" s="86"/>
      <c r="O38" s="86"/>
      <c r="P38" s="87"/>
      <c r="Q38" s="178" t="s">
        <v>78</v>
      </c>
      <c r="R38" s="179"/>
    </row>
    <row r="39" spans="1:18" s="3" customFormat="1" ht="58.5" customHeight="1" thickBot="1" x14ac:dyDescent="0.3">
      <c r="A39" s="180" t="s">
        <v>82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27"/>
      <c r="O39" s="27"/>
      <c r="P39" s="28"/>
      <c r="Q39" s="159"/>
      <c r="R39" s="77"/>
    </row>
    <row r="40" spans="1:18" s="3" customFormat="1" ht="63.75" customHeight="1" x14ac:dyDescent="0.25">
      <c r="A40" s="148"/>
      <c r="B40" s="95" t="s">
        <v>129</v>
      </c>
      <c r="C40" s="95" t="s">
        <v>130</v>
      </c>
      <c r="D40" s="95" t="s">
        <v>131</v>
      </c>
      <c r="E40" s="95" t="s">
        <v>132</v>
      </c>
      <c r="F40" s="95" t="s">
        <v>133</v>
      </c>
      <c r="G40" s="95" t="s">
        <v>134</v>
      </c>
      <c r="H40" s="95" t="s">
        <v>135</v>
      </c>
      <c r="I40" s="95" t="s">
        <v>136</v>
      </c>
      <c r="J40" s="95" t="s">
        <v>137</v>
      </c>
      <c r="K40" s="95" t="s">
        <v>138</v>
      </c>
      <c r="L40" s="95" t="s">
        <v>139</v>
      </c>
      <c r="M40" s="95" t="s">
        <v>140</v>
      </c>
      <c r="N40" s="182"/>
      <c r="O40" s="183"/>
      <c r="P40" s="184"/>
      <c r="Q40" s="22"/>
      <c r="R40" s="29"/>
    </row>
    <row r="41" spans="1:18" s="3" customFormat="1" ht="76.5" customHeight="1" x14ac:dyDescent="0.25">
      <c r="A41" s="150" t="s">
        <v>85</v>
      </c>
      <c r="B41" s="98">
        <v>21.932700000000001</v>
      </c>
      <c r="C41" s="98">
        <v>22.147600000000001</v>
      </c>
      <c r="D41" s="98">
        <v>22.052099999999999</v>
      </c>
      <c r="E41" s="98">
        <v>21.941400000000002</v>
      </c>
      <c r="F41" s="98">
        <v>21.8935</v>
      </c>
      <c r="G41" s="98">
        <v>21.993600000000001</v>
      </c>
      <c r="H41" s="98">
        <v>22.020900000000001</v>
      </c>
      <c r="I41" s="98">
        <v>22.0609</v>
      </c>
      <c r="J41" s="98">
        <v>22.052099999999999</v>
      </c>
      <c r="K41" s="98">
        <v>21.9191</v>
      </c>
      <c r="L41" s="98">
        <v>22.026599999999998</v>
      </c>
      <c r="M41" s="98">
        <v>21.983799999999999</v>
      </c>
      <c r="N41" s="185"/>
      <c r="O41" s="186"/>
      <c r="P41" s="187"/>
      <c r="Q41" s="22"/>
      <c r="R41" s="29"/>
    </row>
    <row r="42" spans="1:18" s="3" customFormat="1" ht="64.5" customHeight="1" x14ac:dyDescent="0.25">
      <c r="A42" s="150" t="s">
        <v>86</v>
      </c>
      <c r="B42" s="98">
        <v>11.103899999999999</v>
      </c>
      <c r="C42" s="98">
        <v>11.2356</v>
      </c>
      <c r="D42" s="98">
        <v>11.1678</v>
      </c>
      <c r="E42" s="98">
        <v>11.1045</v>
      </c>
      <c r="F42" s="98">
        <v>10.9857</v>
      </c>
      <c r="G42" s="98">
        <v>11.222</v>
      </c>
      <c r="H42" s="98">
        <v>11.190099999999999</v>
      </c>
      <c r="I42" s="98">
        <v>11.186299999999999</v>
      </c>
      <c r="J42" s="98">
        <v>11.201000000000001</v>
      </c>
      <c r="K42" s="98">
        <v>11.033799999999999</v>
      </c>
      <c r="L42" s="98">
        <v>11.1808</v>
      </c>
      <c r="M42" s="98">
        <v>11.1143</v>
      </c>
      <c r="N42" s="147" t="s">
        <v>31</v>
      </c>
      <c r="O42" s="147" t="s">
        <v>83</v>
      </c>
      <c r="P42" s="121" t="s">
        <v>84</v>
      </c>
      <c r="Q42" s="22"/>
      <c r="R42" s="29"/>
    </row>
    <row r="43" spans="1:18" s="3" customFormat="1" ht="79.5" customHeight="1" thickBot="1" x14ac:dyDescent="0.3">
      <c r="A43" s="151" t="s">
        <v>87</v>
      </c>
      <c r="B43" s="122">
        <f>B41-B42</f>
        <v>10.828800000000001</v>
      </c>
      <c r="C43" s="122">
        <f t="shared" ref="C43:G43" si="0">C41-C42</f>
        <v>10.912000000000001</v>
      </c>
      <c r="D43" s="122">
        <f t="shared" si="0"/>
        <v>10.8843</v>
      </c>
      <c r="E43" s="122">
        <f t="shared" si="0"/>
        <v>10.836900000000002</v>
      </c>
      <c r="F43" s="122">
        <f t="shared" si="0"/>
        <v>10.9078</v>
      </c>
      <c r="G43" s="122">
        <f t="shared" si="0"/>
        <v>10.771600000000001</v>
      </c>
      <c r="H43" s="122">
        <f>H41-H42</f>
        <v>10.830800000000002</v>
      </c>
      <c r="I43" s="122">
        <f t="shared" ref="I43:M43" si="1">I41-I42</f>
        <v>10.874600000000001</v>
      </c>
      <c r="J43" s="122">
        <f t="shared" si="1"/>
        <v>10.851099999999999</v>
      </c>
      <c r="K43" s="122">
        <f t="shared" si="1"/>
        <v>10.885300000000001</v>
      </c>
      <c r="L43" s="122">
        <f t="shared" si="1"/>
        <v>10.845799999999999</v>
      </c>
      <c r="M43" s="122">
        <f t="shared" si="1"/>
        <v>10.869499999999999</v>
      </c>
      <c r="N43" s="134">
        <f>AVERAGE(B43:G43)</f>
        <v>10.856900000000001</v>
      </c>
      <c r="O43" s="96">
        <f>MIN(B43:G43)</f>
        <v>10.771600000000001</v>
      </c>
      <c r="P43" s="135">
        <f>MAX(B43:G43)</f>
        <v>10.912000000000001</v>
      </c>
      <c r="Q43" s="22"/>
      <c r="R43" s="29"/>
    </row>
    <row r="44" spans="1:18" ht="60" customHeight="1" thickBot="1" x14ac:dyDescent="0.3">
      <c r="A44" s="30"/>
      <c r="B44" s="31"/>
      <c r="C44" s="31"/>
      <c r="D44" s="31"/>
      <c r="E44" s="31"/>
      <c r="F44" s="32"/>
      <c r="G44" s="32"/>
      <c r="H44" s="33"/>
      <c r="I44" s="34"/>
      <c r="J44" s="31"/>
      <c r="K44" s="31"/>
      <c r="L44" s="31"/>
      <c r="M44" s="33"/>
      <c r="N44" s="33"/>
      <c r="O44" s="34"/>
      <c r="P44" s="31"/>
      <c r="Q44" s="31"/>
      <c r="R44" s="35"/>
    </row>
    <row r="45" spans="1:18" ht="30" customHeight="1" x14ac:dyDescent="0.25">
      <c r="A45" s="188" t="s">
        <v>81</v>
      </c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90"/>
      <c r="N45" s="4"/>
      <c r="O45" s="4"/>
      <c r="P45" s="4"/>
      <c r="Q45" s="31"/>
      <c r="R45" s="35"/>
    </row>
    <row r="46" spans="1:18" ht="73.5" customHeight="1" x14ac:dyDescent="0.25">
      <c r="A46" s="123" t="s">
        <v>20</v>
      </c>
      <c r="B46" s="147" t="str">
        <f t="shared" ref="B46:M46" si="2">B40</f>
        <v>Unite-1</v>
      </c>
      <c r="C46" s="147" t="str">
        <f t="shared" si="2"/>
        <v>Unite-2</v>
      </c>
      <c r="D46" s="147" t="str">
        <f t="shared" si="2"/>
        <v>Unite-3</v>
      </c>
      <c r="E46" s="147" t="str">
        <f t="shared" si="2"/>
        <v>Unite-4</v>
      </c>
      <c r="F46" s="147" t="str">
        <f t="shared" si="2"/>
        <v>Unite-5</v>
      </c>
      <c r="G46" s="147" t="str">
        <f t="shared" si="2"/>
        <v>Unite-6</v>
      </c>
      <c r="H46" s="147" t="str">
        <f t="shared" si="2"/>
        <v>Unite-7</v>
      </c>
      <c r="I46" s="147" t="str">
        <f>I40</f>
        <v>Unite-8</v>
      </c>
      <c r="J46" s="147" t="str">
        <f t="shared" si="2"/>
        <v>Unite-9</v>
      </c>
      <c r="K46" s="147" t="str">
        <f t="shared" si="2"/>
        <v>Unite-10</v>
      </c>
      <c r="L46" s="147" t="str">
        <f t="shared" si="2"/>
        <v>Unite-11</v>
      </c>
      <c r="M46" s="121" t="str">
        <f t="shared" si="2"/>
        <v>Unite-12</v>
      </c>
      <c r="N46" s="4"/>
      <c r="O46" s="4"/>
      <c r="P46" s="4"/>
      <c r="Q46" s="31"/>
      <c r="R46" s="35"/>
    </row>
    <row r="47" spans="1:18" ht="30" customHeight="1" x14ac:dyDescent="0.25">
      <c r="A47" s="44">
        <v>0.5</v>
      </c>
      <c r="B47" s="100">
        <v>1227280</v>
      </c>
      <c r="C47" s="100">
        <v>1277227</v>
      </c>
      <c r="D47" s="100">
        <v>1229204</v>
      </c>
      <c r="E47" s="100">
        <v>1276649</v>
      </c>
      <c r="F47" s="100">
        <v>1250485</v>
      </c>
      <c r="G47" s="100">
        <v>1286297</v>
      </c>
      <c r="H47" s="100">
        <v>1271200</v>
      </c>
      <c r="I47" s="100">
        <v>1267003</v>
      </c>
      <c r="J47" s="100">
        <v>1269451</v>
      </c>
      <c r="K47" s="100">
        <v>1282701</v>
      </c>
      <c r="L47" s="100">
        <v>1281267</v>
      </c>
      <c r="M47" s="101">
        <v>1254794</v>
      </c>
      <c r="N47" s="33"/>
      <c r="O47" s="33"/>
      <c r="P47" s="31"/>
      <c r="Q47" s="31"/>
      <c r="R47" s="35"/>
    </row>
    <row r="48" spans="1:18" ht="30" customHeight="1" x14ac:dyDescent="0.25">
      <c r="A48" s="44">
        <v>3</v>
      </c>
      <c r="B48" s="100">
        <v>1136967</v>
      </c>
      <c r="C48" s="100">
        <v>1126729</v>
      </c>
      <c r="D48" s="100">
        <v>1138015</v>
      </c>
      <c r="E48" s="100">
        <v>1139926</v>
      </c>
      <c r="F48" s="100">
        <v>1088086</v>
      </c>
      <c r="G48" s="100">
        <v>1142220</v>
      </c>
      <c r="H48" s="100">
        <v>1147695</v>
      </c>
      <c r="I48" s="100">
        <v>1111327</v>
      </c>
      <c r="J48" s="100">
        <v>1117030</v>
      </c>
      <c r="K48" s="100">
        <v>1157151</v>
      </c>
      <c r="L48" s="100">
        <v>1142177</v>
      </c>
      <c r="M48" s="100">
        <v>1056869</v>
      </c>
      <c r="N48" s="191"/>
      <c r="O48" s="191"/>
      <c r="P48" s="191"/>
      <c r="Q48" s="31"/>
      <c r="R48" s="35"/>
    </row>
    <row r="49" spans="1:19" ht="30" customHeight="1" x14ac:dyDescent="0.25">
      <c r="A49" s="44">
        <v>7</v>
      </c>
      <c r="B49" s="100">
        <v>940328</v>
      </c>
      <c r="C49" s="100">
        <v>982406</v>
      </c>
      <c r="D49" s="100">
        <v>900376</v>
      </c>
      <c r="E49" s="100">
        <v>964273</v>
      </c>
      <c r="F49" s="100">
        <v>963445</v>
      </c>
      <c r="G49" s="100">
        <v>906795</v>
      </c>
      <c r="H49" s="100">
        <v>937264</v>
      </c>
      <c r="I49" s="100">
        <v>977387</v>
      </c>
      <c r="J49" s="100">
        <v>961532</v>
      </c>
      <c r="K49" s="100">
        <v>912326</v>
      </c>
      <c r="L49" s="100">
        <v>896411</v>
      </c>
      <c r="M49" s="100">
        <v>947898</v>
      </c>
      <c r="N49" s="192"/>
      <c r="O49" s="192"/>
      <c r="P49" s="192"/>
      <c r="Q49" s="31"/>
      <c r="R49" s="35"/>
    </row>
    <row r="50" spans="1:19" ht="30" customHeight="1" x14ac:dyDescent="0.25">
      <c r="A50" s="44">
        <v>24</v>
      </c>
      <c r="B50" s="100">
        <v>447679</v>
      </c>
      <c r="C50" s="100">
        <v>455421</v>
      </c>
      <c r="D50" s="100">
        <v>525614</v>
      </c>
      <c r="E50" s="100">
        <v>498235</v>
      </c>
      <c r="F50" s="100">
        <v>523075</v>
      </c>
      <c r="G50" s="100">
        <v>479419</v>
      </c>
      <c r="H50" s="100">
        <v>572565</v>
      </c>
      <c r="I50" s="100">
        <v>457795</v>
      </c>
      <c r="J50" s="100">
        <v>538670</v>
      </c>
      <c r="K50" s="100">
        <v>421424</v>
      </c>
      <c r="L50" s="100">
        <v>521716</v>
      </c>
      <c r="M50" s="101">
        <v>467013</v>
      </c>
      <c r="N50" s="33"/>
      <c r="O50" s="33"/>
      <c r="P50" s="31"/>
      <c r="Q50" s="31"/>
      <c r="R50" s="35"/>
    </row>
    <row r="51" spans="1:19" ht="30" customHeight="1" x14ac:dyDescent="0.25">
      <c r="A51" s="44">
        <v>48</v>
      </c>
      <c r="B51" s="100">
        <v>143975</v>
      </c>
      <c r="C51" s="100">
        <v>119807</v>
      </c>
      <c r="D51" s="100">
        <v>187136</v>
      </c>
      <c r="E51" s="100">
        <v>168381</v>
      </c>
      <c r="F51" s="100">
        <v>165071</v>
      </c>
      <c r="G51" s="100">
        <v>122795</v>
      </c>
      <c r="H51" s="100">
        <v>128689</v>
      </c>
      <c r="I51" s="100">
        <v>131383</v>
      </c>
      <c r="J51" s="100">
        <v>123442</v>
      </c>
      <c r="K51" s="100">
        <v>121995</v>
      </c>
      <c r="L51" s="100">
        <v>161484</v>
      </c>
      <c r="M51" s="101">
        <v>126112</v>
      </c>
      <c r="N51" s="33"/>
      <c r="O51" s="191"/>
      <c r="P51" s="191"/>
      <c r="Q51" s="31"/>
      <c r="R51" s="35"/>
    </row>
    <row r="52" spans="1:19" ht="30" customHeight="1" x14ac:dyDescent="0.25">
      <c r="A52" s="41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1"/>
      <c r="N52" s="33"/>
      <c r="O52" s="193"/>
      <c r="P52" s="193"/>
      <c r="Q52" s="31"/>
      <c r="R52" s="35"/>
    </row>
    <row r="53" spans="1:19" ht="30" customHeight="1" x14ac:dyDescent="0.25">
      <c r="A53" s="41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1"/>
      <c r="N53" s="33"/>
      <c r="O53" s="33"/>
      <c r="P53" s="31"/>
      <c r="Q53" s="31"/>
      <c r="R53" s="35"/>
    </row>
    <row r="54" spans="1:19" s="4" customFormat="1" ht="30" customHeight="1" x14ac:dyDescent="0.25">
      <c r="A54" s="41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1"/>
      <c r="N54" s="33"/>
      <c r="O54" s="33"/>
      <c r="P54" s="18"/>
      <c r="Q54" s="31"/>
      <c r="R54" s="35"/>
    </row>
    <row r="55" spans="1:19" s="4" customFormat="1" ht="30" customHeight="1" x14ac:dyDescent="0.25">
      <c r="A55" s="41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1"/>
      <c r="N55" s="33"/>
      <c r="O55" s="33"/>
      <c r="P55" s="31"/>
      <c r="Q55" s="31"/>
      <c r="R55" s="35"/>
    </row>
    <row r="56" spans="1:19" s="4" customFormat="1" ht="15" customHeight="1" thickBot="1" x14ac:dyDescent="0.3">
      <c r="A56" s="66"/>
      <c r="B56" s="67"/>
      <c r="C56" s="67"/>
      <c r="D56" s="67"/>
      <c r="E56" s="67"/>
      <c r="F56" s="67"/>
      <c r="G56" s="67"/>
      <c r="H56" s="68"/>
      <c r="I56" s="69"/>
      <c r="J56" s="69"/>
      <c r="K56" s="69"/>
      <c r="L56" s="69"/>
      <c r="M56" s="124"/>
      <c r="N56" s="33"/>
      <c r="O56" s="33"/>
      <c r="P56" s="31"/>
      <c r="Q56" s="31"/>
      <c r="R56" s="35"/>
    </row>
    <row r="57" spans="1:19" ht="30" customHeight="1" x14ac:dyDescent="0.25">
      <c r="A57" s="194" t="s">
        <v>21</v>
      </c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25"/>
      <c r="N57" s="125"/>
      <c r="O57" s="125"/>
      <c r="P57" s="126"/>
      <c r="Q57" s="125"/>
      <c r="R57" s="126"/>
    </row>
    <row r="58" spans="1:19" ht="81" customHeight="1" x14ac:dyDescent="0.25">
      <c r="A58" s="123" t="str">
        <f t="shared" ref="A58:A59" si="3">A46</f>
        <v>Time Interval (Hours)</v>
      </c>
      <c r="B58" s="119" t="str">
        <f>B46</f>
        <v>Unite-1</v>
      </c>
      <c r="C58" s="119" t="str">
        <f t="shared" ref="C58:M58" si="4">C46</f>
        <v>Unite-2</v>
      </c>
      <c r="D58" s="119" t="str">
        <f t="shared" si="4"/>
        <v>Unite-3</v>
      </c>
      <c r="E58" s="119" t="str">
        <f t="shared" si="4"/>
        <v>Unite-4</v>
      </c>
      <c r="F58" s="119" t="str">
        <f t="shared" si="4"/>
        <v>Unite-5</v>
      </c>
      <c r="G58" s="119" t="str">
        <f t="shared" si="4"/>
        <v>Unite-6</v>
      </c>
      <c r="H58" s="119" t="str">
        <f>H46</f>
        <v>Unite-7</v>
      </c>
      <c r="I58" s="119" t="str">
        <f t="shared" si="4"/>
        <v>Unite-8</v>
      </c>
      <c r="J58" s="119" t="str">
        <f t="shared" si="4"/>
        <v>Unite-9</v>
      </c>
      <c r="K58" s="119" t="str">
        <f t="shared" si="4"/>
        <v>Unite-10</v>
      </c>
      <c r="L58" s="119" t="str">
        <f t="shared" si="4"/>
        <v>Unite-11</v>
      </c>
      <c r="M58" s="119" t="str">
        <f t="shared" si="4"/>
        <v>Unite-12</v>
      </c>
      <c r="N58" s="147" t="s">
        <v>31</v>
      </c>
      <c r="O58" s="147" t="s">
        <v>15</v>
      </c>
      <c r="P58" s="121" t="s">
        <v>22</v>
      </c>
      <c r="Q58" s="136" t="s">
        <v>23</v>
      </c>
      <c r="R58" s="127" t="s">
        <v>24</v>
      </c>
      <c r="S58" s="4"/>
    </row>
    <row r="59" spans="1:19" ht="30" customHeight="1" x14ac:dyDescent="0.25">
      <c r="A59" s="44">
        <f t="shared" si="3"/>
        <v>0.5</v>
      </c>
      <c r="B59" s="104">
        <f t="shared" ref="B59:M59" si="5">IFERROR((B47/$H$16*$C$13/$E$13*$G$13/$I$13*$K$13/$M$13*$F$35/B43*$J$35/$H$35*$P$13/100/$B$4*$F$10*100), "")</f>
        <v>83.206923267133902</v>
      </c>
      <c r="C59" s="104">
        <f t="shared" si="5"/>
        <v>85.932980010269063</v>
      </c>
      <c r="D59" s="104">
        <f t="shared" si="5"/>
        <v>82.912421758425964</v>
      </c>
      <c r="E59" s="104">
        <f t="shared" si="5"/>
        <v>86.489339949219499</v>
      </c>
      <c r="F59" s="104">
        <f t="shared" si="5"/>
        <v>84.16614955429948</v>
      </c>
      <c r="G59" s="104">
        <f t="shared" si="5"/>
        <v>87.671245885731537</v>
      </c>
      <c r="H59" s="104">
        <f t="shared" si="5"/>
        <v>86.168689323516261</v>
      </c>
      <c r="I59" s="104">
        <f t="shared" si="5"/>
        <v>85.538275646642077</v>
      </c>
      <c r="J59" s="104">
        <f t="shared" si="5"/>
        <v>85.889152109796584</v>
      </c>
      <c r="K59" s="104">
        <f t="shared" si="5"/>
        <v>86.512959667780763</v>
      </c>
      <c r="L59" s="104">
        <f t="shared" si="5"/>
        <v>86.730966944954915</v>
      </c>
      <c r="M59" s="104">
        <f t="shared" si="5"/>
        <v>84.75376613761793</v>
      </c>
      <c r="N59" s="109">
        <f>IFERROR((AVERAGE(B59:M59)), "")</f>
        <v>85.497739187948994</v>
      </c>
      <c r="O59" s="104">
        <f>IFERROR((STDEV(B59:M59)), "")</f>
        <v>1.4557632594309411</v>
      </c>
      <c r="P59" s="138">
        <f>IFERROR((O59/N59*100), "")</f>
        <v>1.7026921100577272</v>
      </c>
      <c r="Q59" s="137">
        <f>IFERROR((MIN(B59:G59)), "")</f>
        <v>82.912421758425964</v>
      </c>
      <c r="R59" s="112">
        <f>IFERROR((MAX(B59:G59)), "")</f>
        <v>87.671245885731537</v>
      </c>
      <c r="S59" s="4"/>
    </row>
    <row r="60" spans="1:19" ht="30" customHeight="1" x14ac:dyDescent="0.25">
      <c r="A60" s="44">
        <v>3</v>
      </c>
      <c r="B60" s="104">
        <f>IFERROR(((B48/$H$16*$C$13/$E$13*$G$13/$I$13*$K$13/$M$13*$F$35/B43*$J$35/$H$35*$P$13/100/$B$4*$F$10*100)+(B59*$M$35/$F$35)), "")</f>
        <v>78.44794558738127</v>
      </c>
      <c r="C60" s="104">
        <f t="shared" ref="C60:M60" si="6">IFERROR(((C48/$H$16*$C$13/$E$13*$G$13/$I$13*$K$13/$M$13*$F$35/C43*$J$35/$H$35*$P$13/100/$B$4*$F$10*100)+(C59*$M$35/$F$35)), "")</f>
        <v>77.216076741316783</v>
      </c>
      <c r="D60" s="104">
        <f t="shared" si="6"/>
        <v>78.120749968051655</v>
      </c>
      <c r="E60" s="104">
        <f t="shared" si="6"/>
        <v>78.644603465471349</v>
      </c>
      <c r="F60" s="104">
        <f t="shared" si="6"/>
        <v>74.615364737048836</v>
      </c>
      <c r="G60" s="104">
        <f t="shared" si="6"/>
        <v>79.288499985040247</v>
      </c>
      <c r="H60" s="104">
        <f t="shared" si="6"/>
        <v>79.20946576038115</v>
      </c>
      <c r="I60" s="104">
        <f t="shared" si="6"/>
        <v>76.430498996088716</v>
      </c>
      <c r="J60" s="104">
        <f t="shared" si="6"/>
        <v>76.984594573075512</v>
      </c>
      <c r="K60" s="104">
        <f t="shared" si="6"/>
        <v>79.463368611008804</v>
      </c>
      <c r="L60" s="104">
        <f t="shared" si="6"/>
        <v>78.737566458700329</v>
      </c>
      <c r="M60" s="104">
        <f t="shared" si="6"/>
        <v>72.774532217473933</v>
      </c>
      <c r="N60" s="109">
        <f>IFERROR((AVERAGE(B60:M60)), "")</f>
        <v>77.494438925086556</v>
      </c>
      <c r="O60" s="104">
        <f>IFERROR((STDEV(B60:M60)), "")</f>
        <v>2.0503286588658844</v>
      </c>
      <c r="P60" s="138">
        <f t="shared" ref="P60:P63" si="7">IFERROR((O60/N60*100), "")</f>
        <v>2.6457752160099202</v>
      </c>
      <c r="Q60" s="137">
        <f t="shared" ref="Q60:Q63" si="8">IFERROR((MIN(B60:G60)), "")</f>
        <v>74.615364737048836</v>
      </c>
      <c r="R60" s="112">
        <f t="shared" ref="R60:R63" si="9">IFERROR((MAX(B60:G60)), "")</f>
        <v>79.288499985040247</v>
      </c>
      <c r="S60" s="4"/>
    </row>
    <row r="61" spans="1:19" ht="30" customHeight="1" x14ac:dyDescent="0.25">
      <c r="A61" s="44">
        <v>7</v>
      </c>
      <c r="B61" s="104">
        <f>IFERROR(((B49/$H$16*$C$13/$E$13*$G$13/$I$13*$K$13/$M$13*$F$35/B43*$J$35/$H$35*$P$13/100/$B$4*$F$10*100)+(B60*$M$35/$F$35)), "")</f>
        <v>65.038231671566237</v>
      </c>
      <c r="C61" s="104">
        <f t="shared" ref="C61:M61" si="10">IFERROR(((C49/$H$16*$C$13/$E$13*$G$13/$I$13*$K$13/$M$13*$F$35/C43*$J$35/$H$35*$P$13/100/$B$4*$F$10*100)+(C60*$M$35/$F$35)), "")</f>
        <v>67.362995589127067</v>
      </c>
      <c r="D61" s="104">
        <f t="shared" si="10"/>
        <v>62.012942457960193</v>
      </c>
      <c r="E61" s="104">
        <f t="shared" si="10"/>
        <v>66.616009899092617</v>
      </c>
      <c r="F61" s="104">
        <f t="shared" si="10"/>
        <v>66.06960706158894</v>
      </c>
      <c r="G61" s="104">
        <f t="shared" si="10"/>
        <v>63.105014638160341</v>
      </c>
      <c r="H61" s="104">
        <f t="shared" si="10"/>
        <v>64.831249021341392</v>
      </c>
      <c r="I61" s="104">
        <f t="shared" si="10"/>
        <v>67.238594881969746</v>
      </c>
      <c r="J61" s="104">
        <f t="shared" si="10"/>
        <v>66.317856587805679</v>
      </c>
      <c r="K61" s="104">
        <f t="shared" si="10"/>
        <v>62.835352150090188</v>
      </c>
      <c r="L61" s="104">
        <f t="shared" si="10"/>
        <v>61.970242224241609</v>
      </c>
      <c r="M61" s="104">
        <f t="shared" si="10"/>
        <v>65.217817565777366</v>
      </c>
      <c r="N61" s="109">
        <f>IFERROR((AVERAGE(B61:M61)), "")</f>
        <v>64.884659479060119</v>
      </c>
      <c r="O61" s="104">
        <f>IFERROR((STDEV(B61:M61)), "")</f>
        <v>1.9629223352662277</v>
      </c>
      <c r="P61" s="138">
        <f t="shared" si="7"/>
        <v>3.0252487275512498</v>
      </c>
      <c r="Q61" s="137">
        <f t="shared" si="8"/>
        <v>62.012942457960193</v>
      </c>
      <c r="R61" s="112">
        <f t="shared" si="9"/>
        <v>67.362995589127067</v>
      </c>
      <c r="S61" s="4"/>
    </row>
    <row r="62" spans="1:19" ht="30" customHeight="1" x14ac:dyDescent="0.25">
      <c r="A62" s="44">
        <v>24</v>
      </c>
      <c r="B62" s="104">
        <f>IFERROR(((B50/$H$16*$C$13/$E$13*$G$13/$I$13*$K$13/$M$13*$F$35/B43*$J$35/$H$35*$P$13/100/$B$4*$F$10*100)+(B61*$M$35/$F$35)), "")</f>
        <v>31.417866154845179</v>
      </c>
      <c r="C62" s="104">
        <f t="shared" ref="C62:M62" si="11">IFERROR(((C50/$H$16*$C$13/$E$13*$G$13/$I$13*$K$13/$M$13*$F$35/C43*$J$35/$H$35*$P$13/100/$B$4*$F$10*100)+(C61*$M$35/$F$35)), "")</f>
        <v>31.745445429594366</v>
      </c>
      <c r="D62" s="104">
        <f t="shared" si="11"/>
        <v>36.470386801022748</v>
      </c>
      <c r="E62" s="104">
        <f t="shared" si="11"/>
        <v>34.84607039167598</v>
      </c>
      <c r="F62" s="104">
        <f t="shared" si="11"/>
        <v>36.289615130331903</v>
      </c>
      <c r="G62" s="104">
        <f t="shared" si="11"/>
        <v>33.710679671865861</v>
      </c>
      <c r="H62" s="104">
        <f t="shared" si="11"/>
        <v>39.874304845680768</v>
      </c>
      <c r="I62" s="104">
        <f t="shared" si="11"/>
        <v>32.009061454732603</v>
      </c>
      <c r="J62" s="104">
        <f t="shared" si="11"/>
        <v>37.532782861940639</v>
      </c>
      <c r="K62" s="104">
        <f t="shared" si="11"/>
        <v>29.453420625253084</v>
      </c>
      <c r="L62" s="104">
        <f t="shared" si="11"/>
        <v>36.331677538062785</v>
      </c>
      <c r="M62" s="104">
        <f t="shared" si="11"/>
        <v>32.613055809977268</v>
      </c>
      <c r="N62" s="109">
        <f>IFERROR((AVERAGE(B62:M62)), "")</f>
        <v>34.357863892915255</v>
      </c>
      <c r="O62" s="104">
        <f>IFERROR((STDEV(B62:M62)), "")</f>
        <v>3.0352757739905885</v>
      </c>
      <c r="P62" s="138">
        <f t="shared" si="7"/>
        <v>8.8342971013878309</v>
      </c>
      <c r="Q62" s="137">
        <f t="shared" si="8"/>
        <v>31.417866154845179</v>
      </c>
      <c r="R62" s="112">
        <f t="shared" si="9"/>
        <v>36.470386801022748</v>
      </c>
      <c r="S62" s="4"/>
    </row>
    <row r="63" spans="1:19" ht="30" customHeight="1" thickBot="1" x14ac:dyDescent="0.3">
      <c r="A63" s="45">
        <v>48</v>
      </c>
      <c r="B63" s="106">
        <f>IFERROR(((B51/$H$16*$C$13/$E$13*$G$13/$I$13*$K$13/$M$13*$F$35/B43*$J$35/$H$35*$P$13/100*$F$10/$B$4*100)+(B62*$M$35/$F$35)), "")</f>
        <v>10.276239849538527</v>
      </c>
      <c r="C63" s="106">
        <f t="shared" ref="C63:F63" si="12">IFERROR(((C51/$H$16*$C$13/$E$13*$G$13/$I$13*$K$13/$M$13*$F$35/C43*$J$35/$H$35*$P$13/100*$F$10/$B$4*100)+(C62*$M$35/$F$35)), "")</f>
        <v>8.5811397318169735</v>
      </c>
      <c r="D63" s="106">
        <f t="shared" si="12"/>
        <v>13.220596042223955</v>
      </c>
      <c r="E63" s="106">
        <f t="shared" si="12"/>
        <v>11.978581060476134</v>
      </c>
      <c r="F63" s="106">
        <f t="shared" si="12"/>
        <v>11.705313266111727</v>
      </c>
      <c r="G63" s="106">
        <f>IFERROR(((G51/$H$16*$C$13/$E$13*$G$13/$I$13*$K$13/$M$13*$F$35/G43*$J$35/$H$35*$P$13/100*$F$10/$B$4*100)+(G62*$M$35/$F$35)), "")</f>
        <v>8.9220780383053899</v>
      </c>
      <c r="H63" s="106">
        <f>IFERROR(((H51/$H$16*$C$13/$E$13*$G$13/$I$13*$K$13/$M$13*$F$35/H43*$J$35/$H$35*$P$13/100*$F$10/$B$4*100)+(H62*$M$35/$F$35)), "")</f>
        <v>9.3769012163725804</v>
      </c>
      <c r="I63" s="106">
        <f t="shared" ref="I63:L63" si="13">IFERROR(((I51/$H$16*$C$13/$E$13*$G$13/$I$13*$K$13/$M$13*$F$35/I43*$J$35/$H$35*$P$13/100*$F$10/$B$4*100)+(I62*$M$35/$F$35)), "")</f>
        <v>9.3947060836281207</v>
      </c>
      <c r="J63" s="106">
        <f t="shared" si="13"/>
        <v>8.9671922374687227</v>
      </c>
      <c r="K63" s="106">
        <f t="shared" si="13"/>
        <v>8.7109089832143347</v>
      </c>
      <c r="L63" s="106">
        <f t="shared" si="13"/>
        <v>11.526705768569546</v>
      </c>
      <c r="M63" s="106">
        <f>IFERROR(((M51/$H$16*$C$13/$E$13*$G$13/$I$13*$K$13/$M$13*$F$35/M43*$J$35/$H$35*$P$13/100*$F$10/$B$4*100)+(M62*$M$35/$F$35)), "")</f>
        <v>9.0527451872775337</v>
      </c>
      <c r="N63" s="110">
        <f>IFERROR((AVERAGE(B63:M63)), "")</f>
        <v>10.142758955416962</v>
      </c>
      <c r="O63" s="106">
        <f>IFERROR((STDEV(B63:M63)), "")</f>
        <v>1.5641769541051633</v>
      </c>
      <c r="P63" s="139">
        <f t="shared" si="7"/>
        <v>15.421612215971873</v>
      </c>
      <c r="Q63" s="137">
        <f t="shared" si="8"/>
        <v>8.5811397318169735</v>
      </c>
      <c r="R63" s="112">
        <f t="shared" si="9"/>
        <v>13.220596042223955</v>
      </c>
      <c r="S63" s="4"/>
    </row>
    <row r="64" spans="1:19" ht="15" customHeight="1" thickBot="1" x14ac:dyDescent="0.3">
      <c r="A64" s="70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7"/>
      <c r="O64" s="38"/>
      <c r="P64" s="38"/>
      <c r="Q64" s="39"/>
      <c r="R64" s="40"/>
      <c r="S64" s="4"/>
    </row>
    <row r="65" spans="1:21" ht="30" customHeight="1" thickBot="1" x14ac:dyDescent="0.3">
      <c r="A65" s="196" t="s">
        <v>79</v>
      </c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8"/>
      <c r="M65" s="71"/>
      <c r="N65" s="120"/>
      <c r="O65" s="120"/>
      <c r="P65" s="71"/>
      <c r="Q65" s="71"/>
      <c r="R65" s="71"/>
    </row>
    <row r="66" spans="1:21" ht="69" customHeight="1" x14ac:dyDescent="0.25">
      <c r="A66" s="102" t="str">
        <f t="shared" ref="A66:M66" si="14">A58</f>
        <v>Time Interval (Hours)</v>
      </c>
      <c r="B66" s="111" t="str">
        <f t="shared" si="14"/>
        <v>Unite-1</v>
      </c>
      <c r="C66" s="111" t="str">
        <f t="shared" si="14"/>
        <v>Unite-2</v>
      </c>
      <c r="D66" s="111" t="str">
        <f t="shared" si="14"/>
        <v>Unite-3</v>
      </c>
      <c r="E66" s="111" t="str">
        <f t="shared" si="14"/>
        <v>Unite-4</v>
      </c>
      <c r="F66" s="111" t="str">
        <f t="shared" si="14"/>
        <v>Unite-5</v>
      </c>
      <c r="G66" s="111" t="str">
        <f t="shared" si="14"/>
        <v>Unite-6</v>
      </c>
      <c r="H66" s="111" t="str">
        <f t="shared" si="14"/>
        <v>Unite-7</v>
      </c>
      <c r="I66" s="111" t="str">
        <f t="shared" si="14"/>
        <v>Unite-8</v>
      </c>
      <c r="J66" s="111" t="str">
        <f t="shared" si="14"/>
        <v>Unite-9</v>
      </c>
      <c r="K66" s="111" t="str">
        <f t="shared" si="14"/>
        <v>Unite-10</v>
      </c>
      <c r="L66" s="111" t="str">
        <f t="shared" si="14"/>
        <v>Unite-11</v>
      </c>
      <c r="M66" s="111" t="str">
        <f t="shared" si="14"/>
        <v>Unite-12</v>
      </c>
      <c r="N66" s="141" t="s">
        <v>31</v>
      </c>
      <c r="O66" s="141" t="s">
        <v>15</v>
      </c>
      <c r="P66" s="141" t="s">
        <v>22</v>
      </c>
      <c r="Q66" s="156" t="s">
        <v>23</v>
      </c>
      <c r="R66" s="157" t="s">
        <v>24</v>
      </c>
      <c r="S66" s="173" t="s">
        <v>119</v>
      </c>
      <c r="T66" s="174"/>
      <c r="U66" s="175"/>
    </row>
    <row r="67" spans="1:21" ht="30" customHeight="1" x14ac:dyDescent="0.25">
      <c r="A67" s="107">
        <f>A59</f>
        <v>0.5</v>
      </c>
      <c r="B67" s="104">
        <f t="shared" ref="B67:M71" si="15">IFERROR(($B$10-B59), "")</f>
        <v>16.393076732866092</v>
      </c>
      <c r="C67" s="104">
        <f t="shared" si="15"/>
        <v>13.667019989730932</v>
      </c>
      <c r="D67" s="104">
        <f t="shared" si="15"/>
        <v>16.68757824157403</v>
      </c>
      <c r="E67" s="104">
        <f t="shared" si="15"/>
        <v>13.110660050780496</v>
      </c>
      <c r="F67" s="104">
        <f t="shared" si="15"/>
        <v>15.433850445700514</v>
      </c>
      <c r="G67" s="104">
        <f>IFERROR(($B$10-G59), "")</f>
        <v>11.928754114268457</v>
      </c>
      <c r="H67" s="104">
        <f t="shared" si="15"/>
        <v>13.431310676483733</v>
      </c>
      <c r="I67" s="104">
        <f t="shared" si="15"/>
        <v>14.061724353357917</v>
      </c>
      <c r="J67" s="104">
        <f t="shared" si="15"/>
        <v>13.710847890203411</v>
      </c>
      <c r="K67" s="104">
        <f t="shared" si="15"/>
        <v>13.087040332219232</v>
      </c>
      <c r="L67" s="104">
        <f t="shared" si="15"/>
        <v>12.86903305504508</v>
      </c>
      <c r="M67" s="104">
        <f t="shared" si="15"/>
        <v>14.846233862382064</v>
      </c>
      <c r="N67" s="109">
        <f>IFERROR((AVERAGE(B67:M67)), "")</f>
        <v>14.102260812050995</v>
      </c>
      <c r="O67" s="104">
        <f>IFERROR((STDEV(B67:M67)), "")</f>
        <v>1.4557632594309411</v>
      </c>
      <c r="P67" s="103">
        <f>IFERROR((O67/N67*100), "")</f>
        <v>10.322906935510142</v>
      </c>
      <c r="Q67" s="109">
        <f>IFERROR((MIN(B67:G67)), "")</f>
        <v>11.928754114268457</v>
      </c>
      <c r="R67" s="112">
        <f>IFERROR((MAX(B67:M67)), "")</f>
        <v>16.68757824157403</v>
      </c>
      <c r="S67" s="162" t="s">
        <v>120</v>
      </c>
      <c r="T67" s="163"/>
      <c r="U67" s="164"/>
    </row>
    <row r="68" spans="1:21" ht="30" customHeight="1" x14ac:dyDescent="0.25">
      <c r="A68" s="107">
        <f>A60</f>
        <v>3</v>
      </c>
      <c r="B68" s="104">
        <f t="shared" si="15"/>
        <v>21.152054412618725</v>
      </c>
      <c r="C68" s="104">
        <f t="shared" si="15"/>
        <v>22.383923258683211</v>
      </c>
      <c r="D68" s="104">
        <f t="shared" si="15"/>
        <v>21.479250031948339</v>
      </c>
      <c r="E68" s="104">
        <f t="shared" si="15"/>
        <v>20.955396534528646</v>
      </c>
      <c r="F68" s="104">
        <f t="shared" si="15"/>
        <v>24.984635262951159</v>
      </c>
      <c r="G68" s="104">
        <f t="shared" si="15"/>
        <v>20.311500014959748</v>
      </c>
      <c r="H68" s="104">
        <f t="shared" si="15"/>
        <v>20.390534239618844</v>
      </c>
      <c r="I68" s="104">
        <f t="shared" si="15"/>
        <v>23.169501003911279</v>
      </c>
      <c r="J68" s="104">
        <f t="shared" si="15"/>
        <v>22.615405426924482</v>
      </c>
      <c r="K68" s="104">
        <f t="shared" si="15"/>
        <v>20.136631388991191</v>
      </c>
      <c r="L68" s="104">
        <f t="shared" si="15"/>
        <v>20.862433541299666</v>
      </c>
      <c r="M68" s="104">
        <f t="shared" si="15"/>
        <v>26.825467782526061</v>
      </c>
      <c r="N68" s="109">
        <f>IFERROR((AVERAGE(B68:M68)), "")</f>
        <v>22.105561074913442</v>
      </c>
      <c r="O68" s="104">
        <f>IFERROR((STDEV(B68:M68)), "")</f>
        <v>2.0503286588658844</v>
      </c>
      <c r="P68" s="103">
        <f t="shared" ref="P68:P71" si="16">IFERROR((O68/N68*100), "")</f>
        <v>9.275171310592544</v>
      </c>
      <c r="Q68" s="109">
        <f t="shared" ref="Q68:Q71" si="17">IFERROR((MIN(B68:G68)), "")</f>
        <v>20.311500014959748</v>
      </c>
      <c r="R68" s="112">
        <f>IFERROR((MAX(B68:M68)), "")</f>
        <v>26.825467782526061</v>
      </c>
      <c r="S68" s="162" t="s">
        <v>121</v>
      </c>
      <c r="T68" s="163"/>
      <c r="U68" s="164"/>
    </row>
    <row r="69" spans="1:21" ht="30" customHeight="1" x14ac:dyDescent="0.25">
      <c r="A69" s="107">
        <f>A61</f>
        <v>7</v>
      </c>
      <c r="B69" s="104">
        <f t="shared" si="15"/>
        <v>34.561768328433757</v>
      </c>
      <c r="C69" s="104">
        <f t="shared" si="15"/>
        <v>32.237004410872927</v>
      </c>
      <c r="D69" s="104">
        <f t="shared" si="15"/>
        <v>37.587057542039801</v>
      </c>
      <c r="E69" s="104">
        <f t="shared" si="15"/>
        <v>32.983990100907377</v>
      </c>
      <c r="F69" s="104">
        <f t="shared" si="15"/>
        <v>33.530392938411055</v>
      </c>
      <c r="G69" s="104">
        <f t="shared" si="15"/>
        <v>36.494985361839653</v>
      </c>
      <c r="H69" s="104">
        <f t="shared" si="15"/>
        <v>34.768750978658602</v>
      </c>
      <c r="I69" s="104">
        <f t="shared" si="15"/>
        <v>32.361405118030248</v>
      </c>
      <c r="J69" s="104">
        <f t="shared" si="15"/>
        <v>33.282143412194316</v>
      </c>
      <c r="K69" s="104">
        <f t="shared" si="15"/>
        <v>36.764647849909807</v>
      </c>
      <c r="L69" s="104">
        <f t="shared" si="15"/>
        <v>37.629757775758385</v>
      </c>
      <c r="M69" s="104">
        <f t="shared" si="15"/>
        <v>34.382182434222628</v>
      </c>
      <c r="N69" s="109">
        <f>IFERROR((AVERAGE(B69:M69)), "")</f>
        <v>34.715340520939883</v>
      </c>
      <c r="O69" s="104">
        <f>IFERROR((STDEV(B69:M69)), "")</f>
        <v>1.9629223352662277</v>
      </c>
      <c r="P69" s="103">
        <f t="shared" si="16"/>
        <v>5.6543369755575812</v>
      </c>
      <c r="Q69" s="109">
        <f t="shared" si="17"/>
        <v>32.237004410872927</v>
      </c>
      <c r="R69" s="112">
        <f>IFERROR((MAX(B69:M69)), "")</f>
        <v>37.629757775758385</v>
      </c>
      <c r="S69" s="162" t="s">
        <v>122</v>
      </c>
      <c r="T69" s="163"/>
      <c r="U69" s="164"/>
    </row>
    <row r="70" spans="1:21" ht="30" customHeight="1" x14ac:dyDescent="0.25">
      <c r="A70" s="107">
        <f>A62</f>
        <v>24</v>
      </c>
      <c r="B70" s="104">
        <f t="shared" si="15"/>
        <v>68.182133845154823</v>
      </c>
      <c r="C70" s="104">
        <f t="shared" si="15"/>
        <v>67.854554570405625</v>
      </c>
      <c r="D70" s="104">
        <f t="shared" si="15"/>
        <v>63.129613198977246</v>
      </c>
      <c r="E70" s="104">
        <f t="shared" si="15"/>
        <v>64.753929608324015</v>
      </c>
      <c r="F70" s="104">
        <f t="shared" si="15"/>
        <v>63.310384869668091</v>
      </c>
      <c r="G70" s="104">
        <f t="shared" si="15"/>
        <v>65.889320328134133</v>
      </c>
      <c r="H70" s="104">
        <f t="shared" si="15"/>
        <v>59.725695154319226</v>
      </c>
      <c r="I70" s="104">
        <f t="shared" si="15"/>
        <v>67.590938545267392</v>
      </c>
      <c r="J70" s="104">
        <f t="shared" si="15"/>
        <v>62.067217138059355</v>
      </c>
      <c r="K70" s="104">
        <f t="shared" si="15"/>
        <v>70.146579374746906</v>
      </c>
      <c r="L70" s="104">
        <f t="shared" si="15"/>
        <v>63.26832246193721</v>
      </c>
      <c r="M70" s="104">
        <f t="shared" si="15"/>
        <v>66.986944190022726</v>
      </c>
      <c r="N70" s="109">
        <f>IFERROR((AVERAGE(B70:M70)), "")</f>
        <v>65.242136107084733</v>
      </c>
      <c r="O70" s="104">
        <f>IFERROR((STDEV(B70:M70)), "")</f>
        <v>3.0352757739905885</v>
      </c>
      <c r="P70" s="103">
        <f t="shared" si="16"/>
        <v>4.6523243337843194</v>
      </c>
      <c r="Q70" s="109">
        <f t="shared" si="17"/>
        <v>63.129613198977246</v>
      </c>
      <c r="R70" s="112">
        <f>IFERROR((MAX(B70:M70)), "")</f>
        <v>70.146579374746906</v>
      </c>
      <c r="S70" s="162" t="s">
        <v>124</v>
      </c>
      <c r="T70" s="163"/>
      <c r="U70" s="164"/>
    </row>
    <row r="71" spans="1:21" ht="30" customHeight="1" thickBot="1" x14ac:dyDescent="0.3">
      <c r="A71" s="108">
        <f>A63</f>
        <v>48</v>
      </c>
      <c r="B71" s="106">
        <f t="shared" si="15"/>
        <v>89.323760150461467</v>
      </c>
      <c r="C71" s="106">
        <f t="shared" si="15"/>
        <v>91.018860268183019</v>
      </c>
      <c r="D71" s="106">
        <f t="shared" si="15"/>
        <v>86.379403957776034</v>
      </c>
      <c r="E71" s="106">
        <f t="shared" si="15"/>
        <v>87.621418939523863</v>
      </c>
      <c r="F71" s="106">
        <f t="shared" si="15"/>
        <v>87.894686733888264</v>
      </c>
      <c r="G71" s="106">
        <f t="shared" si="15"/>
        <v>90.677921961694608</v>
      </c>
      <c r="H71" s="106">
        <f t="shared" si="15"/>
        <v>90.223098783627421</v>
      </c>
      <c r="I71" s="106">
        <f t="shared" si="15"/>
        <v>90.205293916371872</v>
      </c>
      <c r="J71" s="106">
        <f t="shared" si="15"/>
        <v>90.632807762531272</v>
      </c>
      <c r="K71" s="106">
        <f t="shared" si="15"/>
        <v>90.889091016785656</v>
      </c>
      <c r="L71" s="106">
        <f t="shared" si="15"/>
        <v>88.073294231430452</v>
      </c>
      <c r="M71" s="106">
        <f t="shared" si="15"/>
        <v>90.547254812722457</v>
      </c>
      <c r="N71" s="110">
        <f>IFERROR((AVERAGE(B71:M71)), "")</f>
        <v>89.457241044583029</v>
      </c>
      <c r="O71" s="106">
        <f>IFERROR((STDEV(B71:M71)), "")</f>
        <v>1.564176954105164</v>
      </c>
      <c r="P71" s="105">
        <f t="shared" si="16"/>
        <v>1.7485191090630898</v>
      </c>
      <c r="Q71" s="110">
        <f t="shared" si="17"/>
        <v>86.379403957776034</v>
      </c>
      <c r="R71" s="113">
        <f>IFERROR((MAX(B71:M71)), "")</f>
        <v>91.018860268183019</v>
      </c>
      <c r="S71" s="165" t="s">
        <v>123</v>
      </c>
      <c r="T71" s="166"/>
      <c r="U71" s="167"/>
    </row>
    <row r="72" spans="1:21" ht="24.95" customHeight="1" thickBot="1" x14ac:dyDescent="0.3">
      <c r="A72" s="168" t="s">
        <v>66</v>
      </c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70"/>
      <c r="T72" s="171"/>
      <c r="U72" s="172"/>
    </row>
    <row r="73" spans="1:21" ht="9.9499999999999993" customHeight="1" x14ac:dyDescent="0.25">
      <c r="A73" s="6"/>
      <c r="B73" s="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21" ht="15" customHeight="1" x14ac:dyDescent="0.25">
      <c r="A74" s="161" t="s">
        <v>116</v>
      </c>
      <c r="B74" s="161" t="s">
        <v>118</v>
      </c>
      <c r="C74" s="161"/>
      <c r="J74" s="161" t="s">
        <v>117</v>
      </c>
      <c r="K74" s="161" t="s">
        <v>118</v>
      </c>
      <c r="L74" s="161"/>
      <c r="M74" s="161"/>
    </row>
    <row r="75" spans="1:21" ht="15" customHeight="1" x14ac:dyDescent="0.25">
      <c r="A75" s="161"/>
      <c r="B75" s="161"/>
      <c r="C75" s="161"/>
      <c r="H75" s="1" t="s">
        <v>118</v>
      </c>
      <c r="J75" s="161"/>
      <c r="K75" s="161"/>
      <c r="L75" s="161"/>
      <c r="M75" s="161"/>
    </row>
    <row r="76" spans="1:21" ht="15" customHeight="1" x14ac:dyDescent="0.25">
      <c r="A76" s="161"/>
      <c r="B76" s="161"/>
      <c r="C76" s="161"/>
      <c r="D76" s="4"/>
      <c r="E76" s="4"/>
      <c r="F76" s="4"/>
      <c r="G76" s="4"/>
      <c r="H76" s="4"/>
      <c r="I76" s="4"/>
      <c r="J76" s="161"/>
      <c r="K76" s="161"/>
      <c r="L76" s="161"/>
      <c r="M76" s="161"/>
    </row>
    <row r="77" spans="1:21" ht="15" customHeight="1" x14ac:dyDescent="0.25">
      <c r="A77" s="161"/>
      <c r="B77" s="161"/>
      <c r="C77" s="161"/>
      <c r="D77" s="7"/>
      <c r="E77" s="7"/>
      <c r="F77" s="5"/>
      <c r="G77" s="5"/>
      <c r="H77" s="5"/>
      <c r="I77" s="5"/>
      <c r="J77" s="161"/>
      <c r="K77" s="161"/>
      <c r="L77" s="161"/>
      <c r="M77" s="161"/>
    </row>
    <row r="78" spans="1:21" ht="15" customHeight="1" x14ac:dyDescent="0.25">
      <c r="A78" s="4"/>
      <c r="B78" s="4"/>
      <c r="C78" s="7"/>
      <c r="D78" s="7"/>
      <c r="E78" s="7"/>
      <c r="F78" s="8"/>
      <c r="G78" s="9"/>
      <c r="H78" s="9"/>
      <c r="I78" s="5"/>
    </row>
    <row r="79" spans="1:21" ht="15" customHeight="1" x14ac:dyDescent="0.2">
      <c r="A79" s="4"/>
      <c r="B79" s="4"/>
      <c r="C79" s="7"/>
      <c r="D79" s="7"/>
      <c r="E79" s="7"/>
      <c r="F79" s="10"/>
      <c r="G79" s="9"/>
      <c r="H79" s="9"/>
      <c r="I79" s="5"/>
    </row>
    <row r="80" spans="1:21" ht="15" customHeight="1" x14ac:dyDescent="0.2">
      <c r="A80" s="4"/>
      <c r="B80" s="4"/>
      <c r="C80" s="7"/>
      <c r="D80" s="7"/>
      <c r="E80" s="7"/>
      <c r="F80" s="11"/>
      <c r="G80" s="12"/>
      <c r="H80" s="9"/>
      <c r="I80" s="5"/>
    </row>
    <row r="81" spans="1:9" ht="15" customHeight="1" x14ac:dyDescent="0.2">
      <c r="A81" s="4"/>
      <c r="B81" s="4"/>
      <c r="C81" s="7"/>
      <c r="D81" s="7"/>
      <c r="E81" s="7"/>
      <c r="F81" s="11"/>
      <c r="G81" s="12"/>
      <c r="H81" s="9"/>
      <c r="I81" s="5"/>
    </row>
    <row r="82" spans="1:9" ht="15" customHeight="1" x14ac:dyDescent="0.2">
      <c r="A82" s="4"/>
      <c r="B82" s="4"/>
      <c r="C82" s="7"/>
      <c r="D82" s="7"/>
      <c r="E82" s="7"/>
      <c r="F82" s="11"/>
      <c r="G82" s="12"/>
      <c r="H82" s="9"/>
      <c r="I82" s="5"/>
    </row>
    <row r="83" spans="1:9" ht="15" customHeight="1" x14ac:dyDescent="0.2">
      <c r="A83" s="4"/>
      <c r="B83" s="4"/>
      <c r="C83" s="7"/>
      <c r="D83" s="7"/>
      <c r="E83" s="7"/>
      <c r="F83" s="11"/>
      <c r="G83" s="12"/>
      <c r="H83" s="9"/>
      <c r="I83" s="5"/>
    </row>
    <row r="84" spans="1:9" ht="15" customHeight="1" x14ac:dyDescent="0.2">
      <c r="A84" s="4"/>
      <c r="B84" s="4"/>
      <c r="C84" s="4"/>
      <c r="D84" s="4"/>
      <c r="E84" s="4"/>
      <c r="F84" s="13"/>
      <c r="G84" s="9"/>
      <c r="H84" s="9"/>
      <c r="I84" s="4"/>
    </row>
    <row r="85" spans="1:9" ht="15" customHeight="1" x14ac:dyDescent="0.2">
      <c r="A85" s="4"/>
      <c r="B85" s="4"/>
      <c r="C85" s="4"/>
      <c r="D85" s="4"/>
      <c r="E85" s="4"/>
      <c r="F85" s="14"/>
      <c r="G85" s="15"/>
      <c r="H85" s="11"/>
      <c r="I85" s="4"/>
    </row>
    <row r="86" spans="1:9" ht="15" customHeight="1" x14ac:dyDescent="0.2">
      <c r="A86" s="4"/>
      <c r="B86" s="4"/>
      <c r="C86" s="4"/>
      <c r="D86" s="4"/>
      <c r="E86" s="4"/>
      <c r="F86" s="13"/>
      <c r="G86" s="9"/>
      <c r="H86" s="9"/>
      <c r="I86" s="4"/>
    </row>
    <row r="87" spans="1:9" ht="15" customHeight="1" x14ac:dyDescent="0.2">
      <c r="F87" s="13"/>
      <c r="G87" s="9"/>
      <c r="H87" s="9"/>
    </row>
    <row r="88" spans="1:9" ht="15" customHeight="1" x14ac:dyDescent="0.2">
      <c r="F88" s="13"/>
      <c r="G88" s="9"/>
      <c r="H88" s="9"/>
    </row>
    <row r="89" spans="1:9" ht="15" customHeight="1" x14ac:dyDescent="0.2">
      <c r="F89" s="13"/>
      <c r="G89" s="9"/>
      <c r="H89" s="9"/>
    </row>
  </sheetData>
  <sheetProtection formatCells="0"/>
  <mergeCells count="90">
    <mergeCell ref="B4:H4"/>
    <mergeCell ref="N4:Q4"/>
    <mergeCell ref="A1:Q1"/>
    <mergeCell ref="A2:A3"/>
    <mergeCell ref="B2:H3"/>
    <mergeCell ref="K2:R2"/>
    <mergeCell ref="K3:R3"/>
    <mergeCell ref="B5:H5"/>
    <mergeCell ref="N5:Q5"/>
    <mergeCell ref="B6:H6"/>
    <mergeCell ref="N6:Q6"/>
    <mergeCell ref="B7:H7"/>
    <mergeCell ref="N7:Q7"/>
    <mergeCell ref="J8:K10"/>
    <mergeCell ref="L8:Q10"/>
    <mergeCell ref="B9:D9"/>
    <mergeCell ref="F9:H9"/>
    <mergeCell ref="B10:D10"/>
    <mergeCell ref="F10:H10"/>
    <mergeCell ref="N11:Q11"/>
    <mergeCell ref="A12:A13"/>
    <mergeCell ref="B12:B13"/>
    <mergeCell ref="D12:O12"/>
    <mergeCell ref="P12:Q12"/>
    <mergeCell ref="N13:O13"/>
    <mergeCell ref="P13:Q13"/>
    <mergeCell ref="A15:A16"/>
    <mergeCell ref="K15:L15"/>
    <mergeCell ref="N15:O15"/>
    <mergeCell ref="Q15:R15"/>
    <mergeCell ref="K16:L16"/>
    <mergeCell ref="N16:O16"/>
    <mergeCell ref="Q16:R16"/>
    <mergeCell ref="N17:N18"/>
    <mergeCell ref="O17:P17"/>
    <mergeCell ref="A18:A25"/>
    <mergeCell ref="H19:H25"/>
    <mergeCell ref="I19:I25"/>
    <mergeCell ref="N25:O26"/>
    <mergeCell ref="P25:P26"/>
    <mergeCell ref="A27:N27"/>
    <mergeCell ref="O27:P27"/>
    <mergeCell ref="A28:N28"/>
    <mergeCell ref="O28:P28"/>
    <mergeCell ref="A29:N29"/>
    <mergeCell ref="O29:P29"/>
    <mergeCell ref="A30:N30"/>
    <mergeCell ref="O30:P30"/>
    <mergeCell ref="A31:N31"/>
    <mergeCell ref="O31:P31"/>
    <mergeCell ref="A32:N32"/>
    <mergeCell ref="O32:P32"/>
    <mergeCell ref="A34:A35"/>
    <mergeCell ref="B34:C34"/>
    <mergeCell ref="D34:E34"/>
    <mergeCell ref="F34:G34"/>
    <mergeCell ref="H34:I34"/>
    <mergeCell ref="M34:N34"/>
    <mergeCell ref="O34:P34"/>
    <mergeCell ref="B35:C35"/>
    <mergeCell ref="D35:E35"/>
    <mergeCell ref="F35:G35"/>
    <mergeCell ref="H35:I35"/>
    <mergeCell ref="J35:K35"/>
    <mergeCell ref="M35:N35"/>
    <mergeCell ref="O35:P35"/>
    <mergeCell ref="J34:K34"/>
    <mergeCell ref="S66:U66"/>
    <mergeCell ref="P37:R37"/>
    <mergeCell ref="Q38:R38"/>
    <mergeCell ref="A39:M39"/>
    <mergeCell ref="N40:P41"/>
    <mergeCell ref="A45:M45"/>
    <mergeCell ref="N48:P48"/>
    <mergeCell ref="N49:P49"/>
    <mergeCell ref="O51:P51"/>
    <mergeCell ref="O52:P52"/>
    <mergeCell ref="A57:L57"/>
    <mergeCell ref="A65:L65"/>
    <mergeCell ref="A74:A77"/>
    <mergeCell ref="B74:C77"/>
    <mergeCell ref="J74:J77"/>
    <mergeCell ref="K74:M77"/>
    <mergeCell ref="S67:U67"/>
    <mergeCell ref="S68:U68"/>
    <mergeCell ref="S69:U69"/>
    <mergeCell ref="S70:U70"/>
    <mergeCell ref="S71:U71"/>
    <mergeCell ref="A72:R72"/>
    <mergeCell ref="S72:U72"/>
  </mergeCells>
  <printOptions horizontalCentered="1" verticalCentered="1"/>
  <pageMargins left="0" right="0" top="0" bottom="0" header="0" footer="0"/>
  <pageSetup paperSize="9" scale="40" fitToHeight="0" orientation="landscape" copies="2" r:id="rId1"/>
  <headerFooter alignWithMargins="0"/>
  <rowBreaks count="1" manualBreakCount="1">
    <brk id="3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Kulkarni, Mandar</dc:creator>
  <cp:lastModifiedBy>Kakkad, Krunalben</cp:lastModifiedBy>
  <cp:lastPrinted>2026-05-22T05:31:48Z</cp:lastPrinted>
  <dcterms:created xsi:type="dcterms:W3CDTF">2019-01-24T10:04:14Z</dcterms:created>
  <dcterms:modified xsi:type="dcterms:W3CDTF">2026-06-24T06:19:03Z</dcterms:modified>
</cp:coreProperties>
</file>