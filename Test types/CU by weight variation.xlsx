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\\10.31.104.15\Analytical NDDS_1\1) Analytical Planning\Calculation sheet_AD_NDDS\Routine analysis\"/>
    </mc:Choice>
  </mc:AlternateContent>
  <xr:revisionPtr revIDLastSave="0" documentId="13_ncr:1_{152A8D36-2C69-41AD-BC1B-AB4ED66B9D04}" xr6:coauthVersionLast="36" xr6:coauthVersionMax="36" xr10:uidLastSave="{00000000-0000-0000-0000-000000000000}"/>
  <workbookProtection workbookAlgorithmName="SHA-512" workbookHashValue="xgtcenOUWRy+PcCUVKd3Ak7rHapFcOIVDeRRHAU43cYalb4xwy1ipAeSg0PSTg+GOcYpZwpgll7GOaRzPDdG/g==" workbookSaltValue="q5TM0JBv2tyaMgYDNtCbKQ==" workbookSpinCount="100000" lockStructure="1"/>
  <bookViews>
    <workbookView xWindow="120" yWindow="60" windowWidth="9420" windowHeight="4248" xr2:uid="{00000000-000D-0000-FFFF-FFFF00000000}"/>
  </bookViews>
  <sheets>
    <sheet name="CONTENT UNIFORMITY" sheetId="1" r:id="rId1"/>
  </sheets>
  <definedNames>
    <definedName name="Base">'CONTENT UNIFORMITY'!#REF!</definedName>
    <definedName name="_xlnm.Print_Area" localSheetId="0">'CONTENT UNIFORMITY'!$A$1:$K$54</definedName>
    <definedName name="Salt">'CONTENT UNIFORMITY'!#REF!</definedName>
    <definedName name="Z_AB25F826_40B4_47B6_85A6_61668E02E365_.wvu.PrintArea" localSheetId="0" hidden="1">'CONTENT UNIFORMITY'!$B$1:$K$58</definedName>
  </definedNames>
  <calcPr calcId="191029"/>
  <customWorkbookViews>
    <customWorkbookView name="trc - Personal View" guid="{73A0A9C6-2018-11D4-9DDC-0090272F132D}" mergeInterval="0" personalView="1" maximized="1" windowWidth="636" windowHeight="291" activeSheetId="1"/>
    <customWorkbookView name="Patel, Mitesh - Personal View" guid="{AB25F826-40B4-47B6-85A6-61668E02E365}" mergeInterval="0" personalView="1" maximized="1" xWindow="-8" yWindow="-8" windowWidth="1376" windowHeight="744" activeSheetId="1"/>
  </customWorkbookViews>
</workbook>
</file>

<file path=xl/calcChain.xml><?xml version="1.0" encoding="utf-8"?>
<calcChain xmlns="http://schemas.openxmlformats.org/spreadsheetml/2006/main">
  <c r="C14" i="1" l="1"/>
  <c r="C1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23" i="1"/>
  <c r="D14" i="1" l="1"/>
  <c r="E23" i="1" s="1"/>
  <c r="K27" i="1" l="1"/>
  <c r="K35" i="1"/>
  <c r="E28" i="1"/>
  <c r="E36" i="1"/>
  <c r="K28" i="1"/>
  <c r="K36" i="1"/>
  <c r="E29" i="1"/>
  <c r="E37" i="1"/>
  <c r="E30" i="1"/>
  <c r="K30" i="1"/>
  <c r="E31" i="1"/>
  <c r="K31" i="1"/>
  <c r="E32" i="1"/>
  <c r="E25" i="1"/>
  <c r="K37" i="1"/>
  <c r="K23" i="1"/>
  <c r="E24" i="1"/>
  <c r="K32" i="1"/>
  <c r="E33" i="1"/>
  <c r="K29" i="1"/>
  <c r="K24" i="1"/>
  <c r="K25" i="1"/>
  <c r="K33" i="1"/>
  <c r="E26" i="1"/>
  <c r="E34" i="1"/>
  <c r="K26" i="1"/>
  <c r="K34" i="1"/>
  <c r="E27" i="1"/>
  <c r="E35" i="1"/>
  <c r="C20" i="1"/>
  <c r="K42" i="1" l="1"/>
  <c r="K40" i="1"/>
  <c r="K41" i="1"/>
  <c r="K39" i="1"/>
  <c r="J46" i="1" l="1"/>
  <c r="A47" i="1"/>
  <c r="C47" i="1" s="1"/>
  <c r="K43" i="1"/>
</calcChain>
</file>

<file path=xl/sharedStrings.xml><?xml version="1.0" encoding="utf-8"?>
<sst xmlns="http://schemas.openxmlformats.org/spreadsheetml/2006/main" count="73" uniqueCount="52">
  <si>
    <t>Batch No.</t>
  </si>
  <si>
    <t>Minimum</t>
  </si>
  <si>
    <t>Maximum</t>
  </si>
  <si>
    <t>SD (s)</t>
  </si>
  <si>
    <t>% RSD</t>
  </si>
  <si>
    <t>Calculation for Acceptance Value</t>
  </si>
  <si>
    <t>K</t>
  </si>
  <si>
    <t>Mean (x)</t>
  </si>
  <si>
    <t>Product Name</t>
  </si>
  <si>
    <t>AV=ks</t>
  </si>
  <si>
    <t>AV=98.5-X+ks</t>
  </si>
  <si>
    <t>AV=X-101.5+ks</t>
  </si>
  <si>
    <t xml:space="preserve">If 98.5% ≥ X ≤ 101.5 % then M=X </t>
  </si>
  <si>
    <t>If X &lt; 98.5 %, then M=98.5 %</t>
  </si>
  <si>
    <t>If X &gt; 101.5 %, then M=101.5 %</t>
  </si>
  <si>
    <t>Lable Claim</t>
  </si>
  <si>
    <t>Analyzed By</t>
  </si>
  <si>
    <t>Checked By</t>
  </si>
  <si>
    <t>Emcure</t>
  </si>
  <si>
    <t xml:space="preserve"> Analytical Development</t>
  </si>
  <si>
    <t>(Number of Units) n</t>
  </si>
  <si>
    <t>Acceptance 
value (AV)</t>
  </si>
  <si>
    <t xml:space="preserve"> </t>
  </si>
  <si>
    <t>% Assay</t>
  </si>
  <si>
    <t xml:space="preserve">% C.U. </t>
  </si>
  <si>
    <t>% C.U.</t>
  </si>
  <si>
    <t>Unit</t>
  </si>
  <si>
    <t xml:space="preserve">Unit </t>
  </si>
  <si>
    <t>A.R. No.</t>
  </si>
  <si>
    <t>T.R.F. No.</t>
  </si>
  <si>
    <t>Av. Filled Weight (mg)</t>
  </si>
  <si>
    <t>Av. Empty Weight (mg)</t>
  </si>
  <si>
    <t>Av. Net Weight (mg)</t>
  </si>
  <si>
    <t>Template No.</t>
  </si>
  <si>
    <t>C.U. of</t>
  </si>
  <si>
    <t>M</t>
  </si>
  <si>
    <t>Additional
Information</t>
  </si>
  <si>
    <t>If 'M' value gives '0.0', 
than cosider below value for 'M'</t>
  </si>
  <si>
    <t>Content Uniformity By Weight Variation (For Vial)</t>
  </si>
  <si>
    <t xml:space="preserve">Filled Vial
Weight </t>
  </si>
  <si>
    <t xml:space="preserve">Empty Vial
Weight </t>
  </si>
  <si>
    <t>C.U. by Weight Variation 
(For Vial)</t>
  </si>
  <si>
    <t>Net
 Weight</t>
  </si>
  <si>
    <t>Net 
Weight</t>
  </si>
  <si>
    <t>Amphotericin B Liposome for Injection</t>
  </si>
  <si>
    <t>Each vial contains 50.0 mg Amphotericin B USP</t>
  </si>
  <si>
    <t>INITIAL</t>
  </si>
  <si>
    <t>ES210158</t>
  </si>
  <si>
    <t>TRF_556-23-86</t>
  </si>
  <si>
    <t>AD/006/23/0448</t>
  </si>
  <si>
    <t>LNB_AD_526</t>
  </si>
  <si>
    <t xml:space="preserve"> R &amp; D 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</si>
</sst>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 x14ac:knownFonts="1">
    <font>
      <sz val="10"/>
      <name val="Arial"/>
    </font>
    <font>
      <sz val="10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6"/>
      <color rgb="FFFF0000"/>
      <name val="Arial"/>
      <family val="2"/>
    </font>
    <font>
      <b/>
      <sz val="11"/>
      <color theme="1"/>
      <name val="Arial"/>
      <family val="2"/>
    </font>
    <font>
      <b/>
      <sz val="24"/>
      <name val="Arial"/>
      <family val="2"/>
    </font>
    <font>
      <b/>
      <sz val="18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7DDEF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0">
    <xf numFmtId="0" fontId="0" fillId="0" borderId="0" xfId="0"/>
    <xf numFmtId="0" fontId="1" fillId="0" borderId="0" xfId="0" applyFont="1" applyProtection="1"/>
    <xf numFmtId="0" fontId="1" fillId="0" borderId="0" xfId="0" applyFont="1" applyFill="1" applyProtection="1"/>
    <xf numFmtId="0" fontId="3" fillId="0" borderId="0" xfId="0" applyFont="1" applyProtection="1"/>
    <xf numFmtId="0" fontId="5" fillId="0" borderId="0" xfId="0" applyFont="1" applyBorder="1" applyProtection="1"/>
    <xf numFmtId="0" fontId="4" fillId="0" borderId="7" xfId="0" applyFont="1" applyBorder="1" applyAlignment="1" applyProtection="1">
      <alignment horizontal="center" vertical="center" wrapText="1"/>
    </xf>
    <xf numFmtId="164" fontId="4" fillId="0" borderId="1" xfId="0" applyNumberFormat="1" applyFont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1" fillId="0" borderId="0" xfId="0" applyFont="1" applyBorder="1" applyProtection="1"/>
    <xf numFmtId="0" fontId="1" fillId="0" borderId="6" xfId="0" applyFont="1" applyBorder="1" applyProtection="1"/>
    <xf numFmtId="164" fontId="4" fillId="0" borderId="7" xfId="0" applyNumberFormat="1" applyFont="1" applyBorder="1" applyAlignment="1" applyProtection="1">
      <alignment horizontal="center" vertical="center"/>
    </xf>
    <xf numFmtId="2" fontId="4" fillId="0" borderId="7" xfId="0" applyNumberFormat="1" applyFont="1" applyBorder="1" applyAlignment="1" applyProtection="1">
      <alignment horizontal="center" vertical="center"/>
    </xf>
    <xf numFmtId="164" fontId="4" fillId="2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0" xfId="0" applyFont="1" applyBorder="1" applyAlignment="1" applyProtection="1">
      <alignment vertical="center"/>
    </xf>
    <xf numFmtId="0" fontId="4" fillId="0" borderId="2" xfId="0" applyFont="1" applyBorder="1" applyAlignment="1" applyProtection="1">
      <alignment horizontal="center" vertical="center" wrapText="1"/>
    </xf>
    <xf numFmtId="2" fontId="5" fillId="2" borderId="2" xfId="0" applyNumberFormat="1" applyFont="1" applyFill="1" applyBorder="1" applyAlignment="1" applyProtection="1">
      <alignment horizontal="center" vertical="center"/>
      <protection locked="0"/>
    </xf>
    <xf numFmtId="2" fontId="4" fillId="0" borderId="1" xfId="0" applyNumberFormat="1" applyFont="1" applyFill="1" applyBorder="1" applyAlignment="1" applyProtection="1">
      <alignment horizontal="center" vertical="center"/>
    </xf>
    <xf numFmtId="2" fontId="5" fillId="0" borderId="1" xfId="0" applyNumberFormat="1" applyFont="1" applyFill="1" applyBorder="1" applyAlignment="1" applyProtection="1">
      <alignment horizontal="center" vertical="center"/>
    </xf>
    <xf numFmtId="0" fontId="4" fillId="0" borderId="30" xfId="0" applyFont="1" applyBorder="1" applyAlignment="1" applyProtection="1">
      <alignment horizontal="center" vertical="center" wrapText="1"/>
    </xf>
    <xf numFmtId="0" fontId="4" fillId="0" borderId="30" xfId="0" applyFont="1" applyBorder="1" applyAlignment="1" applyProtection="1">
      <alignment horizontal="center" vertical="center"/>
    </xf>
    <xf numFmtId="0" fontId="1" fillId="0" borderId="5" xfId="0" applyFont="1" applyBorder="1" applyProtection="1"/>
    <xf numFmtId="0" fontId="5" fillId="2" borderId="1" xfId="0" applyFont="1" applyFill="1" applyBorder="1" applyAlignment="1" applyProtection="1">
      <alignment horizontal="left" vertical="center"/>
      <protection locked="0"/>
    </xf>
    <xf numFmtId="0" fontId="4" fillId="0" borderId="0" xfId="0" applyFont="1" applyFill="1" applyBorder="1" applyAlignment="1" applyProtection="1">
      <alignment vertical="center"/>
    </xf>
    <xf numFmtId="0" fontId="4" fillId="0" borderId="6" xfId="0" applyFont="1" applyFill="1" applyBorder="1" applyAlignment="1" applyProtection="1">
      <alignment vertical="center"/>
    </xf>
    <xf numFmtId="0" fontId="4" fillId="0" borderId="1" xfId="0" applyFont="1" applyBorder="1" applyAlignment="1" applyProtection="1">
      <alignment horizontal="center" vertical="center" wrapText="1"/>
    </xf>
    <xf numFmtId="164" fontId="5" fillId="0" borderId="7" xfId="0" applyNumberFormat="1" applyFont="1" applyBorder="1" applyAlignment="1" applyProtection="1">
      <alignment horizontal="center" vertical="center"/>
    </xf>
    <xf numFmtId="164" fontId="12" fillId="0" borderId="7" xfId="0" applyNumberFormat="1" applyFont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horizontal="center"/>
    </xf>
    <xf numFmtId="0" fontId="1" fillId="0" borderId="0" xfId="0" applyFont="1" applyBorder="1" applyAlignment="1" applyProtection="1">
      <alignment horizontal="center"/>
    </xf>
    <xf numFmtId="0" fontId="1" fillId="0" borderId="6" xfId="0" applyFont="1" applyBorder="1" applyAlignment="1" applyProtection="1">
      <alignment horizontal="center"/>
    </xf>
    <xf numFmtId="0" fontId="4" fillId="0" borderId="29" xfId="0" applyNumberFormat="1" applyFont="1" applyBorder="1" applyAlignment="1" applyProtection="1">
      <alignment horizontal="left" vertical="center"/>
    </xf>
    <xf numFmtId="0" fontId="4" fillId="0" borderId="15" xfId="0" applyNumberFormat="1" applyFont="1" applyBorder="1" applyAlignment="1" applyProtection="1">
      <alignment horizontal="left" vertical="center"/>
    </xf>
    <xf numFmtId="0" fontId="4" fillId="0" borderId="29" xfId="0" applyNumberFormat="1" applyFont="1" applyBorder="1" applyAlignment="1" applyProtection="1">
      <alignment horizontal="center" vertical="center"/>
    </xf>
    <xf numFmtId="0" fontId="4" fillId="0" borderId="15" xfId="0" applyNumberFormat="1" applyFont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left" vertical="center" wrapText="1"/>
      <protection locked="0"/>
    </xf>
    <xf numFmtId="2" fontId="4" fillId="2" borderId="7" xfId="0" applyNumberFormat="1" applyFont="1" applyFill="1" applyBorder="1" applyAlignment="1" applyProtection="1">
      <alignment horizontal="left" vertical="center" wrapText="1"/>
      <protection locked="0"/>
    </xf>
    <xf numFmtId="0" fontId="4" fillId="0" borderId="5" xfId="0" applyNumberFormat="1" applyFont="1" applyBorder="1" applyAlignment="1" applyProtection="1">
      <alignment horizontal="center" vertical="center"/>
    </xf>
    <xf numFmtId="0" fontId="4" fillId="0" borderId="0" xfId="0" applyNumberFormat="1" applyFont="1" applyBorder="1" applyAlignment="1" applyProtection="1">
      <alignment horizontal="center" vertical="center"/>
    </xf>
    <xf numFmtId="0" fontId="4" fillId="0" borderId="6" xfId="0" applyNumberFormat="1" applyFont="1" applyBorder="1" applyAlignment="1" applyProtection="1">
      <alignment horizontal="center" vertical="center"/>
    </xf>
    <xf numFmtId="0" fontId="4" fillId="0" borderId="19" xfId="0" applyFont="1" applyBorder="1" applyAlignment="1" applyProtection="1">
      <alignment horizontal="center" vertical="center"/>
    </xf>
    <xf numFmtId="0" fontId="4" fillId="0" borderId="27" xfId="0" applyFont="1" applyBorder="1" applyAlignment="1" applyProtection="1">
      <alignment horizontal="center" vertical="center"/>
    </xf>
    <xf numFmtId="0" fontId="4" fillId="0" borderId="20" xfId="0" applyFont="1" applyBorder="1" applyAlignment="1" applyProtection="1">
      <alignment horizontal="center" vertical="center"/>
    </xf>
    <xf numFmtId="0" fontId="4" fillId="0" borderId="17" xfId="0" applyFont="1" applyBorder="1" applyAlignment="1" applyProtection="1">
      <alignment horizontal="center" vertical="center"/>
    </xf>
    <xf numFmtId="0" fontId="4" fillId="0" borderId="12" xfId="0" applyFont="1" applyBorder="1" applyAlignment="1" applyProtection="1">
      <alignment horizontal="center" vertical="center"/>
    </xf>
    <xf numFmtId="0" fontId="4" fillId="0" borderId="14" xfId="0" applyFont="1" applyBorder="1" applyAlignment="1" applyProtection="1">
      <alignment horizontal="center" vertical="center"/>
    </xf>
    <xf numFmtId="2" fontId="9" fillId="2" borderId="19" xfId="0" applyNumberFormat="1" applyFont="1" applyFill="1" applyBorder="1" applyAlignment="1" applyProtection="1">
      <alignment horizontal="center" vertical="center" wrapText="1"/>
      <protection locked="0"/>
    </xf>
    <xf numFmtId="2" fontId="9" fillId="2" borderId="27" xfId="0" applyNumberFormat="1" applyFont="1" applyFill="1" applyBorder="1" applyAlignment="1" applyProtection="1">
      <alignment horizontal="center" vertical="center" wrapText="1"/>
      <protection locked="0"/>
    </xf>
    <xf numFmtId="2" fontId="9" fillId="2" borderId="22" xfId="0" applyNumberFormat="1" applyFont="1" applyFill="1" applyBorder="1" applyAlignment="1" applyProtection="1">
      <alignment horizontal="center" vertical="center" wrapText="1"/>
      <protection locked="0"/>
    </xf>
    <xf numFmtId="2" fontId="9" fillId="2" borderId="17" xfId="0" applyNumberFormat="1" applyFont="1" applyFill="1" applyBorder="1" applyAlignment="1" applyProtection="1">
      <alignment horizontal="center" vertical="center" wrapText="1"/>
      <protection locked="0"/>
    </xf>
    <xf numFmtId="2" fontId="9" fillId="2" borderId="12" xfId="0" applyNumberFormat="1" applyFont="1" applyFill="1" applyBorder="1" applyAlignment="1" applyProtection="1">
      <alignment horizontal="center" vertical="center" wrapText="1"/>
      <protection locked="0"/>
    </xf>
    <xf numFmtId="2" fontId="9" fillId="2" borderId="23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 applyProtection="1">
      <alignment horizontal="center" vertical="center"/>
    </xf>
    <xf numFmtId="0" fontId="4" fillId="0" borderId="31" xfId="0" applyNumberFormat="1" applyFont="1" applyBorder="1" applyAlignment="1" applyProtection="1">
      <alignment horizontal="center" vertical="center"/>
    </xf>
    <xf numFmtId="0" fontId="4" fillId="0" borderId="20" xfId="0" applyNumberFormat="1" applyFont="1" applyBorder="1" applyAlignment="1" applyProtection="1">
      <alignment horizontal="center" vertical="center"/>
    </xf>
    <xf numFmtId="0" fontId="4" fillId="0" borderId="21" xfId="0" applyNumberFormat="1" applyFont="1" applyBorder="1" applyAlignment="1" applyProtection="1">
      <alignment horizontal="center" vertical="center"/>
    </xf>
    <xf numFmtId="0" fontId="4" fillId="0" borderId="28" xfId="0" applyNumberFormat="1" applyFont="1" applyBorder="1" applyAlignment="1" applyProtection="1">
      <alignment horizontal="center" vertical="center"/>
    </xf>
    <xf numFmtId="0" fontId="4" fillId="0" borderId="14" xfId="0" applyNumberFormat="1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/>
    </xf>
    <xf numFmtId="0" fontId="5" fillId="0" borderId="21" xfId="0" applyFont="1" applyBorder="1" applyAlignment="1" applyProtection="1">
      <alignment horizontal="center"/>
    </xf>
    <xf numFmtId="0" fontId="11" fillId="0" borderId="31" xfId="0" applyFont="1" applyBorder="1" applyAlignment="1" applyProtection="1">
      <alignment horizontal="center" vertical="center" wrapText="1"/>
    </xf>
    <xf numFmtId="0" fontId="11" fillId="0" borderId="20" xfId="0" applyFont="1" applyBorder="1" applyAlignment="1" applyProtection="1">
      <alignment horizontal="center" vertical="center" wrapText="1"/>
    </xf>
    <xf numFmtId="0" fontId="11" fillId="0" borderId="28" xfId="0" applyFont="1" applyBorder="1" applyAlignment="1" applyProtection="1">
      <alignment horizontal="center" vertical="center" wrapText="1"/>
    </xf>
    <xf numFmtId="0" fontId="11" fillId="0" borderId="14" xfId="0" applyFont="1" applyBorder="1" applyAlignment="1" applyProtection="1">
      <alignment horizontal="center" vertical="center" wrapText="1"/>
    </xf>
    <xf numFmtId="0" fontId="11" fillId="0" borderId="19" xfId="0" applyFont="1" applyBorder="1" applyAlignment="1" applyProtection="1">
      <alignment horizontal="center" vertical="center" wrapText="1"/>
    </xf>
    <xf numFmtId="0" fontId="11" fillId="0" borderId="27" xfId="0" applyFont="1" applyBorder="1" applyAlignment="1" applyProtection="1">
      <alignment horizontal="center" vertical="center" wrapText="1"/>
    </xf>
    <xf numFmtId="0" fontId="11" fillId="0" borderId="17" xfId="0" applyFont="1" applyBorder="1" applyAlignment="1" applyProtection="1">
      <alignment horizontal="center" vertical="center" wrapText="1"/>
    </xf>
    <xf numFmtId="0" fontId="11" fillId="0" borderId="12" xfId="0" applyFont="1" applyBorder="1" applyAlignment="1" applyProtection="1">
      <alignment horizontal="center" vertical="center" wrapText="1"/>
    </xf>
    <xf numFmtId="164" fontId="10" fillId="0" borderId="31" xfId="0" applyNumberFormat="1" applyFont="1" applyBorder="1" applyAlignment="1" applyProtection="1">
      <alignment horizontal="center" vertical="center" wrapText="1"/>
      <protection hidden="1"/>
    </xf>
    <xf numFmtId="164" fontId="10" fillId="0" borderId="20" xfId="0" applyNumberFormat="1" applyFont="1" applyBorder="1" applyAlignment="1" applyProtection="1">
      <alignment horizontal="center" vertical="center" wrapText="1"/>
      <protection hidden="1"/>
    </xf>
    <xf numFmtId="164" fontId="10" fillId="0" borderId="28" xfId="0" applyNumberFormat="1" applyFont="1" applyBorder="1" applyAlignment="1" applyProtection="1">
      <alignment horizontal="center" vertical="center" wrapText="1"/>
      <protection hidden="1"/>
    </xf>
    <xf numFmtId="164" fontId="10" fillId="0" borderId="14" xfId="0" applyNumberFormat="1" applyFont="1" applyBorder="1" applyAlignment="1" applyProtection="1">
      <alignment horizontal="center" vertical="center" wrapText="1"/>
      <protection hidden="1"/>
    </xf>
    <xf numFmtId="164" fontId="10" fillId="0" borderId="19" xfId="0" applyNumberFormat="1" applyFont="1" applyBorder="1" applyAlignment="1" applyProtection="1">
      <alignment horizontal="center" vertical="center" wrapText="1"/>
      <protection hidden="1"/>
    </xf>
    <xf numFmtId="164" fontId="10" fillId="0" borderId="27" xfId="0" applyNumberFormat="1" applyFont="1" applyBorder="1" applyAlignment="1" applyProtection="1">
      <alignment horizontal="center" vertical="center" wrapText="1"/>
      <protection hidden="1"/>
    </xf>
    <xf numFmtId="164" fontId="10" fillId="0" borderId="17" xfId="0" applyNumberFormat="1" applyFont="1" applyBorder="1" applyAlignment="1" applyProtection="1">
      <alignment horizontal="center" vertical="center" wrapText="1"/>
      <protection hidden="1"/>
    </xf>
    <xf numFmtId="164" fontId="10" fillId="0" borderId="12" xfId="0" applyNumberFormat="1" applyFont="1" applyBorder="1" applyAlignment="1" applyProtection="1">
      <alignment horizontal="center" vertical="center" wrapText="1"/>
      <protection hidden="1"/>
    </xf>
    <xf numFmtId="0" fontId="4" fillId="0" borderId="30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 applyProtection="1">
      <alignment horizontal="left" vertical="center"/>
      <protection locked="0"/>
    </xf>
    <xf numFmtId="0" fontId="4" fillId="2" borderId="2" xfId="0" applyFont="1" applyFill="1" applyBorder="1" applyAlignment="1" applyProtection="1">
      <alignment horizontal="left" vertical="center"/>
      <protection locked="0"/>
    </xf>
    <xf numFmtId="0" fontId="4" fillId="2" borderId="7" xfId="0" applyFont="1" applyFill="1" applyBorder="1" applyAlignment="1" applyProtection="1">
      <alignment horizontal="left" vertical="center"/>
      <protection locked="0"/>
    </xf>
    <xf numFmtId="0" fontId="6" fillId="0" borderId="25" xfId="0" applyFont="1" applyBorder="1" applyAlignment="1" applyProtection="1">
      <alignment horizontal="center" vertical="center"/>
    </xf>
    <xf numFmtId="0" fontId="6" fillId="0" borderId="24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7" fillId="0" borderId="5" xfId="0" applyFont="1" applyBorder="1" applyAlignment="1" applyProtection="1">
      <alignment horizontal="center" vertical="center"/>
    </xf>
    <xf numFmtId="0" fontId="7" fillId="0" borderId="0" xfId="0" applyFont="1" applyBorder="1" applyAlignment="1" applyProtection="1">
      <alignment horizontal="center" vertical="center"/>
    </xf>
    <xf numFmtId="0" fontId="7" fillId="0" borderId="6" xfId="0" applyFont="1" applyBorder="1" applyAlignment="1" applyProtection="1">
      <alignment horizontal="center" vertical="center"/>
    </xf>
    <xf numFmtId="0" fontId="7" fillId="0" borderId="28" xfId="0" applyFont="1" applyBorder="1" applyAlignment="1" applyProtection="1">
      <alignment horizontal="center" vertical="center"/>
    </xf>
    <xf numFmtId="0" fontId="7" fillId="0" borderId="12" xfId="0" applyFont="1" applyBorder="1" applyAlignment="1" applyProtection="1">
      <alignment horizontal="center" vertical="center"/>
    </xf>
    <xf numFmtId="0" fontId="7" fillId="0" borderId="23" xfId="0" applyFont="1" applyBorder="1" applyAlignment="1" applyProtection="1">
      <alignment horizontal="center" vertical="center"/>
    </xf>
    <xf numFmtId="0" fontId="7" fillId="0" borderId="29" xfId="0" applyFont="1" applyBorder="1" applyAlignment="1" applyProtection="1">
      <alignment horizontal="center" vertical="center"/>
    </xf>
    <xf numFmtId="0" fontId="7" fillId="0" borderId="3" xfId="0" applyFont="1" applyBorder="1" applyAlignment="1" applyProtection="1">
      <alignment horizontal="center" vertical="center"/>
    </xf>
    <xf numFmtId="0" fontId="7" fillId="0" borderId="4" xfId="0" applyFont="1" applyBorder="1" applyAlignment="1" applyProtection="1">
      <alignment horizontal="center" vertical="center"/>
    </xf>
    <xf numFmtId="0" fontId="4" fillId="0" borderId="29" xfId="0" applyFont="1" applyFill="1" applyBorder="1" applyAlignment="1" applyProtection="1">
      <alignment horizontal="left" vertical="center"/>
    </xf>
    <xf numFmtId="0" fontId="4" fillId="0" borderId="15" xfId="0" applyFont="1" applyFill="1" applyBorder="1" applyAlignment="1" applyProtection="1">
      <alignment horizontal="left" vertical="center"/>
    </xf>
    <xf numFmtId="0" fontId="1" fillId="0" borderId="8" xfId="0" applyFont="1" applyBorder="1" applyAlignment="1" applyProtection="1">
      <alignment horizontal="center"/>
    </xf>
    <xf numFmtId="0" fontId="1" fillId="0" borderId="9" xfId="0" applyFont="1" applyBorder="1" applyAlignment="1" applyProtection="1">
      <alignment horizontal="center"/>
    </xf>
    <xf numFmtId="0" fontId="1" fillId="0" borderId="10" xfId="0" applyFont="1" applyBorder="1" applyAlignment="1" applyProtection="1">
      <alignment horizontal="center"/>
    </xf>
    <xf numFmtId="2" fontId="4" fillId="0" borderId="2" xfId="0" applyNumberFormat="1" applyFont="1" applyFill="1" applyBorder="1" applyAlignment="1" applyProtection="1">
      <alignment horizontal="center" vertical="center"/>
    </xf>
    <xf numFmtId="2" fontId="4" fillId="0" borderId="15" xfId="0" applyNumberFormat="1" applyFont="1" applyFill="1" applyBorder="1" applyAlignment="1" applyProtection="1">
      <alignment horizontal="center" vertical="center"/>
    </xf>
    <xf numFmtId="0" fontId="4" fillId="0" borderId="16" xfId="0" applyNumberFormat="1" applyFont="1" applyBorder="1" applyAlignment="1" applyProtection="1">
      <alignment horizontal="center" vertical="center"/>
    </xf>
    <xf numFmtId="0" fontId="4" fillId="0" borderId="19" xfId="0" applyNumberFormat="1" applyFont="1" applyBorder="1" applyAlignment="1" applyProtection="1">
      <alignment horizontal="center" vertical="center"/>
    </xf>
    <xf numFmtId="0" fontId="4" fillId="0" borderId="27" xfId="0" applyNumberFormat="1" applyFont="1" applyBorder="1" applyAlignment="1" applyProtection="1">
      <alignment horizontal="center" vertical="center"/>
    </xf>
    <xf numFmtId="0" fontId="4" fillId="0" borderId="22" xfId="0" applyNumberFormat="1" applyFont="1" applyBorder="1" applyAlignment="1" applyProtection="1">
      <alignment horizontal="center" vertical="center"/>
    </xf>
    <xf numFmtId="0" fontId="4" fillId="0" borderId="17" xfId="0" applyNumberFormat="1" applyFont="1" applyBorder="1" applyAlignment="1" applyProtection="1">
      <alignment horizontal="center" vertical="center"/>
    </xf>
    <xf numFmtId="0" fontId="4" fillId="0" borderId="12" xfId="0" applyNumberFormat="1" applyFont="1" applyBorder="1" applyAlignment="1" applyProtection="1">
      <alignment horizontal="center" vertical="center"/>
    </xf>
    <xf numFmtId="0" fontId="4" fillId="0" borderId="23" xfId="0" applyNumberFormat="1" applyFont="1" applyBorder="1" applyAlignment="1" applyProtection="1">
      <alignment horizontal="center" vertical="center"/>
    </xf>
    <xf numFmtId="0" fontId="5" fillId="0" borderId="0" xfId="0" applyFont="1" applyBorder="1" applyAlignment="1" applyProtection="1">
      <alignment horizontal="center" vertical="center"/>
    </xf>
    <xf numFmtId="0" fontId="5" fillId="0" borderId="29" xfId="0" applyFont="1" applyBorder="1" applyAlignment="1" applyProtection="1">
      <alignment horizontal="center" vertical="center"/>
    </xf>
    <xf numFmtId="0" fontId="5" fillId="0" borderId="3" xfId="0" applyFont="1" applyBorder="1" applyAlignment="1" applyProtection="1">
      <alignment horizontal="center" vertical="center"/>
    </xf>
    <xf numFmtId="0" fontId="5" fillId="0" borderId="15" xfId="0" applyFont="1" applyBorder="1" applyAlignment="1" applyProtection="1">
      <alignment horizontal="center" vertical="center"/>
    </xf>
    <xf numFmtId="2" fontId="9" fillId="0" borderId="25" xfId="0" applyNumberFormat="1" applyFont="1" applyFill="1" applyBorder="1" applyAlignment="1" applyProtection="1">
      <alignment horizontal="center" vertical="center" wrapText="1"/>
    </xf>
    <xf numFmtId="2" fontId="9" fillId="0" borderId="24" xfId="0" applyNumberFormat="1" applyFont="1" applyFill="1" applyBorder="1" applyAlignment="1" applyProtection="1">
      <alignment horizontal="center" vertical="center" wrapText="1"/>
    </xf>
    <xf numFmtId="2" fontId="9" fillId="0" borderId="26" xfId="0" applyNumberFormat="1" applyFont="1" applyFill="1" applyBorder="1" applyAlignment="1" applyProtection="1">
      <alignment horizontal="center" vertical="center" wrapText="1"/>
    </xf>
    <xf numFmtId="2" fontId="9" fillId="0" borderId="5" xfId="0" applyNumberFormat="1" applyFont="1" applyFill="1" applyBorder="1" applyAlignment="1" applyProtection="1">
      <alignment horizontal="center" vertical="center" wrapText="1"/>
    </xf>
    <xf numFmtId="2" fontId="9" fillId="0" borderId="0" xfId="0" applyNumberFormat="1" applyFont="1" applyFill="1" applyBorder="1" applyAlignment="1" applyProtection="1">
      <alignment horizontal="center" vertical="center" wrapText="1"/>
    </xf>
    <xf numFmtId="2" fontId="9" fillId="0" borderId="6" xfId="0" applyNumberFormat="1" applyFont="1" applyFill="1" applyBorder="1" applyAlignment="1" applyProtection="1">
      <alignment horizontal="center" vertical="center" wrapText="1"/>
    </xf>
    <xf numFmtId="2" fontId="9" fillId="0" borderId="8" xfId="0" applyNumberFormat="1" applyFont="1" applyFill="1" applyBorder="1" applyAlignment="1" applyProtection="1">
      <alignment horizontal="center" vertical="center" wrapText="1"/>
    </xf>
    <xf numFmtId="2" fontId="9" fillId="0" borderId="9" xfId="0" applyNumberFormat="1" applyFont="1" applyFill="1" applyBorder="1" applyAlignment="1" applyProtection="1">
      <alignment horizontal="center" vertical="center" wrapText="1"/>
    </xf>
    <xf numFmtId="2" fontId="9" fillId="0" borderId="10" xfId="0" applyNumberFormat="1" applyFont="1" applyFill="1" applyBorder="1" applyAlignment="1" applyProtection="1">
      <alignment horizontal="center" vertical="center" wrapText="1"/>
    </xf>
    <xf numFmtId="0" fontId="4" fillId="0" borderId="31" xfId="0" applyNumberFormat="1" applyFont="1" applyBorder="1" applyAlignment="1" applyProtection="1">
      <alignment horizontal="left" vertical="center" wrapText="1"/>
    </xf>
    <xf numFmtId="0" fontId="4" fillId="0" borderId="27" xfId="0" applyNumberFormat="1" applyFont="1" applyBorder="1" applyAlignment="1" applyProtection="1">
      <alignment horizontal="left" vertical="center"/>
    </xf>
    <xf numFmtId="0" fontId="4" fillId="0" borderId="28" xfId="0" applyNumberFormat="1" applyFont="1" applyBorder="1" applyAlignment="1" applyProtection="1">
      <alignment horizontal="left" vertical="center"/>
    </xf>
    <xf numFmtId="0" fontId="4" fillId="0" borderId="12" xfId="0" applyNumberFormat="1" applyFont="1" applyBorder="1" applyAlignment="1" applyProtection="1">
      <alignment horizontal="left" vertical="center"/>
    </xf>
    <xf numFmtId="0" fontId="4" fillId="0" borderId="13" xfId="0" applyNumberFormat="1" applyFont="1" applyBorder="1" applyAlignment="1" applyProtection="1">
      <alignment horizontal="center" vertical="center"/>
    </xf>
    <xf numFmtId="0" fontId="4" fillId="0" borderId="18" xfId="0" applyNumberFormat="1" applyFont="1" applyBorder="1" applyAlignment="1" applyProtection="1">
      <alignment horizontal="center" vertical="center"/>
    </xf>
    <xf numFmtId="0" fontId="4" fillId="0" borderId="11" xfId="0" applyNumberFormat="1" applyFont="1" applyBorder="1" applyAlignment="1" applyProtection="1">
      <alignment horizontal="center" vertical="center"/>
    </xf>
    <xf numFmtId="0" fontId="4" fillId="0" borderId="1" xfId="0" applyNumberFormat="1" applyFont="1" applyBorder="1" applyAlignment="1" applyProtection="1">
      <alignment horizontal="center" vertical="center"/>
    </xf>
    <xf numFmtId="164" fontId="8" fillId="0" borderId="1" xfId="0" applyNumberFormat="1" applyFont="1" applyBorder="1" applyAlignment="1" applyProtection="1">
      <alignment horizontal="center" vertical="center"/>
      <protection hidden="1"/>
    </xf>
    <xf numFmtId="164" fontId="8" fillId="0" borderId="7" xfId="0" applyNumberFormat="1" applyFont="1" applyBorder="1" applyAlignment="1" applyProtection="1">
      <alignment horizontal="center" vertical="center"/>
      <protection hidden="1"/>
    </xf>
    <xf numFmtId="0" fontId="4" fillId="0" borderId="1" xfId="0" applyFont="1" applyBorder="1" applyAlignment="1" applyProtection="1">
      <alignment horizontal="center" vertical="center" wrapText="1"/>
    </xf>
    <xf numFmtId="0" fontId="4" fillId="0" borderId="29" xfId="0" applyFont="1" applyFill="1" applyBorder="1" applyAlignment="1" applyProtection="1">
      <alignment horizontal="center" vertical="center"/>
    </xf>
    <xf numFmtId="0" fontId="4" fillId="0" borderId="3" xfId="0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4" fillId="0" borderId="16" xfId="0" applyFont="1" applyFill="1" applyBorder="1" applyAlignment="1" applyProtection="1">
      <alignment horizontal="center" vertical="center"/>
      <protection locked="0"/>
    </xf>
    <xf numFmtId="0" fontId="4" fillId="0" borderId="21" xfId="0" applyFont="1" applyFill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/>
    </xf>
    <xf numFmtId="0" fontId="5" fillId="0" borderId="19" xfId="0" applyFont="1" applyFill="1" applyBorder="1" applyAlignment="1" applyProtection="1">
      <alignment horizontal="center" vertical="center"/>
      <protection locked="0"/>
    </xf>
    <xf numFmtId="0" fontId="5" fillId="0" borderId="27" xfId="0" applyFont="1" applyFill="1" applyBorder="1" applyAlignment="1" applyProtection="1">
      <alignment horizontal="center" vertical="center"/>
      <protection locked="0"/>
    </xf>
    <xf numFmtId="0" fontId="5" fillId="0" borderId="16" xfId="0" applyFont="1" applyFill="1" applyBorder="1" applyAlignment="1" applyProtection="1">
      <alignment horizontal="center" vertical="center"/>
      <protection locked="0"/>
    </xf>
    <xf numFmtId="0" fontId="5" fillId="0" borderId="0" xfId="0" applyFont="1" applyFill="1" applyBorder="1" applyAlignment="1" applyProtection="1">
      <alignment horizontal="center" vertical="center"/>
      <protection locked="0"/>
    </xf>
    <xf numFmtId="0" fontId="5" fillId="0" borderId="32" xfId="0" applyFont="1" applyFill="1" applyBorder="1" applyAlignment="1" applyProtection="1">
      <alignment horizontal="center" vertical="center"/>
      <protection locked="0"/>
    </xf>
    <xf numFmtId="0" fontId="5" fillId="0" borderId="33" xfId="0" applyFont="1" applyFill="1" applyBorder="1" applyAlignment="1" applyProtection="1">
      <alignment horizontal="center" vertical="center"/>
      <protection locked="0"/>
    </xf>
    <xf numFmtId="0" fontId="5" fillId="2" borderId="2" xfId="0" applyNumberFormat="1" applyFont="1" applyFill="1" applyBorder="1" applyAlignment="1" applyProtection="1">
      <alignment horizontal="left" vertical="center"/>
      <protection locked="0"/>
    </xf>
    <xf numFmtId="0" fontId="5" fillId="2" borderId="3" xfId="0" applyNumberFormat="1" applyFont="1" applyFill="1" applyBorder="1" applyAlignment="1" applyProtection="1">
      <alignment horizontal="left" vertical="center"/>
      <protection locked="0"/>
    </xf>
    <xf numFmtId="0" fontId="5" fillId="2" borderId="4" xfId="0" applyNumberFormat="1" applyFont="1" applyFill="1" applyBorder="1" applyAlignment="1" applyProtection="1">
      <alignment horizontal="left" vertical="center"/>
      <protection locked="0"/>
    </xf>
    <xf numFmtId="0" fontId="5" fillId="2" borderId="2" xfId="0" applyFont="1" applyFill="1" applyBorder="1" applyAlignment="1" applyProtection="1">
      <alignment horizontal="left" vertical="center"/>
      <protection locked="0"/>
    </xf>
    <xf numFmtId="0" fontId="5" fillId="2" borderId="3" xfId="0" applyFont="1" applyFill="1" applyBorder="1" applyAlignment="1" applyProtection="1">
      <alignment horizontal="left" vertical="center"/>
      <protection locked="0"/>
    </xf>
    <xf numFmtId="0" fontId="5" fillId="2" borderId="4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7DD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8"/>
  <sheetViews>
    <sheetView showGridLines="0" tabSelected="1" view="pageBreakPreview" zoomScaleNormal="90" zoomScaleSheetLayoutView="100" workbookViewId="0">
      <selection activeCell="A3" sqref="A3:K3"/>
    </sheetView>
  </sheetViews>
  <sheetFormatPr defaultColWidth="9.109375" defaultRowHeight="13.2" x14ac:dyDescent="0.25"/>
  <cols>
    <col min="1" max="1" width="6.88671875" style="3" customWidth="1"/>
    <col min="2" max="2" width="16.109375" style="3" customWidth="1"/>
    <col min="3" max="3" width="16.5546875" style="3" customWidth="1"/>
    <col min="4" max="4" width="13" style="3" customWidth="1"/>
    <col min="5" max="5" width="10.44140625" style="3" customWidth="1"/>
    <col min="6" max="6" width="3.33203125" style="3" customWidth="1"/>
    <col min="7" max="7" width="7.33203125" style="3" customWidth="1"/>
    <col min="8" max="8" width="16" style="3" customWidth="1"/>
    <col min="9" max="9" width="17" style="3" customWidth="1"/>
    <col min="10" max="10" width="12.6640625" style="3" customWidth="1"/>
    <col min="11" max="11" width="9.33203125" style="3" customWidth="1"/>
    <col min="12" max="16384" width="9.109375" style="3"/>
  </cols>
  <sheetData>
    <row r="1" spans="1:11" s="1" customFormat="1" ht="20.100000000000001" customHeight="1" x14ac:dyDescent="0.25">
      <c r="A1" s="82" t="s">
        <v>18</v>
      </c>
      <c r="B1" s="83"/>
      <c r="C1" s="83"/>
      <c r="D1" s="83"/>
      <c r="E1" s="83"/>
      <c r="F1" s="83"/>
      <c r="G1" s="83"/>
      <c r="H1" s="83"/>
      <c r="I1" s="83"/>
      <c r="J1" s="83"/>
      <c r="K1" s="84"/>
    </row>
    <row r="2" spans="1:11" s="1" customFormat="1" ht="20.100000000000001" customHeight="1" x14ac:dyDescent="0.25">
      <c r="A2" s="85" t="s">
        <v>51</v>
      </c>
      <c r="B2" s="86"/>
      <c r="C2" s="86"/>
      <c r="D2" s="86"/>
      <c r="E2" s="86"/>
      <c r="F2" s="86"/>
      <c r="G2" s="86"/>
      <c r="H2" s="86"/>
      <c r="I2" s="86"/>
      <c r="J2" s="86"/>
      <c r="K2" s="87"/>
    </row>
    <row r="3" spans="1:11" s="1" customFormat="1" ht="20.100000000000001" customHeight="1" x14ac:dyDescent="0.25">
      <c r="A3" s="88" t="s">
        <v>19</v>
      </c>
      <c r="B3" s="89"/>
      <c r="C3" s="89"/>
      <c r="D3" s="89"/>
      <c r="E3" s="89"/>
      <c r="F3" s="89"/>
      <c r="G3" s="89"/>
      <c r="H3" s="89"/>
      <c r="I3" s="89"/>
      <c r="J3" s="89"/>
      <c r="K3" s="90"/>
    </row>
    <row r="4" spans="1:11" s="1" customFormat="1" ht="20.100000000000001" customHeight="1" x14ac:dyDescent="0.25">
      <c r="A4" s="91" t="s">
        <v>38</v>
      </c>
      <c r="B4" s="92"/>
      <c r="C4" s="92"/>
      <c r="D4" s="92"/>
      <c r="E4" s="92"/>
      <c r="F4" s="92"/>
      <c r="G4" s="92"/>
      <c r="H4" s="92"/>
      <c r="I4" s="92"/>
      <c r="J4" s="92"/>
      <c r="K4" s="93"/>
    </row>
    <row r="5" spans="1:11" s="1" customFormat="1" ht="20.100000000000001" customHeight="1" x14ac:dyDescent="0.25">
      <c r="A5" s="94" t="s">
        <v>8</v>
      </c>
      <c r="B5" s="95"/>
      <c r="C5" s="79" t="s">
        <v>44</v>
      </c>
      <c r="D5" s="79"/>
      <c r="E5" s="79"/>
      <c r="F5" s="79"/>
      <c r="G5" s="79"/>
      <c r="H5" s="79"/>
      <c r="I5" s="80"/>
      <c r="J5" s="80"/>
      <c r="K5" s="81"/>
    </row>
    <row r="6" spans="1:11" s="1" customFormat="1" ht="15" customHeight="1" x14ac:dyDescent="0.25">
      <c r="A6" s="132"/>
      <c r="B6" s="133"/>
      <c r="C6" s="133"/>
      <c r="D6" s="133"/>
      <c r="E6" s="133"/>
      <c r="F6" s="133"/>
      <c r="G6" s="133"/>
      <c r="H6" s="133"/>
      <c r="I6" s="133"/>
      <c r="J6" s="133"/>
      <c r="K6" s="134"/>
    </row>
    <row r="7" spans="1:11" s="1" customFormat="1" ht="20.100000000000001" customHeight="1" x14ac:dyDescent="0.25">
      <c r="A7" s="94" t="s">
        <v>0</v>
      </c>
      <c r="B7" s="95"/>
      <c r="C7" s="144" t="s">
        <v>47</v>
      </c>
      <c r="D7" s="145"/>
      <c r="E7" s="145"/>
      <c r="F7" s="145"/>
      <c r="G7" s="145"/>
      <c r="H7" s="145"/>
      <c r="I7" s="145"/>
      <c r="J7" s="145"/>
      <c r="K7" s="146"/>
    </row>
    <row r="8" spans="1:11" s="1" customFormat="1" ht="20.100000000000001" customHeight="1" x14ac:dyDescent="0.25">
      <c r="A8" s="94" t="s">
        <v>15</v>
      </c>
      <c r="B8" s="95"/>
      <c r="C8" s="144" t="s">
        <v>45</v>
      </c>
      <c r="D8" s="145"/>
      <c r="E8" s="145"/>
      <c r="F8" s="145"/>
      <c r="G8" s="145"/>
      <c r="H8" s="145"/>
      <c r="I8" s="145"/>
      <c r="J8" s="145"/>
      <c r="K8" s="146"/>
    </row>
    <row r="9" spans="1:11" s="2" customFormat="1" ht="20.100000000000001" customHeight="1" x14ac:dyDescent="0.25">
      <c r="A9" s="94" t="s">
        <v>29</v>
      </c>
      <c r="B9" s="95"/>
      <c r="C9" s="147" t="s">
        <v>48</v>
      </c>
      <c r="D9" s="148"/>
      <c r="E9" s="148"/>
      <c r="F9" s="148"/>
      <c r="G9" s="148"/>
      <c r="H9" s="148"/>
      <c r="I9" s="148"/>
      <c r="J9" s="148"/>
      <c r="K9" s="149"/>
    </row>
    <row r="10" spans="1:11" s="1" customFormat="1" ht="20.100000000000001" customHeight="1" x14ac:dyDescent="0.25">
      <c r="A10" s="94" t="s">
        <v>28</v>
      </c>
      <c r="B10" s="95"/>
      <c r="C10" s="147" t="s">
        <v>49</v>
      </c>
      <c r="D10" s="148"/>
      <c r="E10" s="148"/>
      <c r="F10" s="148"/>
      <c r="G10" s="148"/>
      <c r="H10" s="148"/>
      <c r="I10" s="148"/>
      <c r="J10" s="148"/>
      <c r="K10" s="149"/>
    </row>
    <row r="11" spans="1:11" s="1" customFormat="1" ht="20.100000000000001" customHeight="1" thickBot="1" x14ac:dyDescent="0.3">
      <c r="A11" s="94" t="s">
        <v>33</v>
      </c>
      <c r="B11" s="95"/>
      <c r="C11" s="22" t="s">
        <v>50</v>
      </c>
      <c r="D11" s="138"/>
      <c r="E11" s="139"/>
      <c r="F11" s="139"/>
      <c r="G11" s="139"/>
      <c r="H11" s="142"/>
      <c r="I11" s="142"/>
      <c r="J11" s="142"/>
      <c r="K11" s="143"/>
    </row>
    <row r="12" spans="1:11" s="1" customFormat="1" ht="20.100000000000001" customHeight="1" x14ac:dyDescent="0.25">
      <c r="A12" s="32" t="s">
        <v>23</v>
      </c>
      <c r="B12" s="33"/>
      <c r="C12" s="13">
        <v>108.9</v>
      </c>
      <c r="D12" s="140"/>
      <c r="E12" s="141"/>
      <c r="F12" s="141"/>
      <c r="G12" s="141"/>
      <c r="H12" s="112" t="s">
        <v>41</v>
      </c>
      <c r="I12" s="113"/>
      <c r="J12" s="113"/>
      <c r="K12" s="114"/>
    </row>
    <row r="13" spans="1:11" s="1" customFormat="1" ht="20.100000000000001" customHeight="1" x14ac:dyDescent="0.25">
      <c r="A13" s="32" t="s">
        <v>30</v>
      </c>
      <c r="B13" s="33"/>
      <c r="C13" s="17">
        <f>IFERROR((AVERAGE(B23:B37,H23:H37)), "")</f>
        <v>19669.633000000002</v>
      </c>
      <c r="D13" s="99" t="s">
        <v>32</v>
      </c>
      <c r="E13" s="100"/>
      <c r="F13" s="137"/>
      <c r="G13" s="31"/>
      <c r="H13" s="115"/>
      <c r="I13" s="116"/>
      <c r="J13" s="116"/>
      <c r="K13" s="117"/>
    </row>
    <row r="14" spans="1:11" s="1" customFormat="1" ht="20.100000000000001" customHeight="1" thickBot="1" x14ac:dyDescent="0.3">
      <c r="A14" s="32" t="s">
        <v>31</v>
      </c>
      <c r="B14" s="33"/>
      <c r="C14" s="17">
        <f>IFERROR((AVERAGE(C23:C37,I23:I37)), "")</f>
        <v>18206.796999999999</v>
      </c>
      <c r="D14" s="99">
        <f>IFERROR((AVERAGE(D23:D37,J23:J37)), "")</f>
        <v>1462.8359999999998</v>
      </c>
      <c r="E14" s="100"/>
      <c r="F14" s="137"/>
      <c r="G14" s="31"/>
      <c r="H14" s="118"/>
      <c r="I14" s="119"/>
      <c r="J14" s="119"/>
      <c r="K14" s="120"/>
    </row>
    <row r="15" spans="1:11" s="1" customFormat="1" ht="15" customHeight="1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  <c r="K15" s="40"/>
    </row>
    <row r="16" spans="1:11" s="1" customFormat="1" ht="20.100000000000001" customHeight="1" x14ac:dyDescent="0.25">
      <c r="A16" s="121" t="s">
        <v>36</v>
      </c>
      <c r="B16" s="122"/>
      <c r="C16" s="36"/>
      <c r="D16" s="36"/>
      <c r="E16" s="36"/>
      <c r="F16" s="36"/>
      <c r="G16" s="36"/>
      <c r="H16" s="36"/>
      <c r="I16" s="36"/>
      <c r="J16" s="36"/>
      <c r="K16" s="37"/>
    </row>
    <row r="17" spans="1:11" s="1" customFormat="1" ht="20.100000000000001" customHeight="1" x14ac:dyDescent="0.25">
      <c r="A17" s="123"/>
      <c r="B17" s="124"/>
      <c r="C17" s="36"/>
      <c r="D17" s="36"/>
      <c r="E17" s="36"/>
      <c r="F17" s="36"/>
      <c r="G17" s="36"/>
      <c r="H17" s="36"/>
      <c r="I17" s="36"/>
      <c r="J17" s="36"/>
      <c r="K17" s="37"/>
    </row>
    <row r="18" spans="1:11" s="1" customFormat="1" ht="15" customHeight="1" x14ac:dyDescent="0.25">
      <c r="A18" s="54"/>
      <c r="B18" s="103"/>
      <c r="C18" s="103"/>
      <c r="D18" s="103"/>
      <c r="E18" s="103"/>
      <c r="F18" s="103"/>
      <c r="G18" s="103"/>
      <c r="H18" s="103"/>
      <c r="I18" s="103"/>
      <c r="J18" s="103"/>
      <c r="K18" s="104"/>
    </row>
    <row r="19" spans="1:11" s="1" customFormat="1" ht="20.100000000000001" customHeight="1" x14ac:dyDescent="0.25">
      <c r="A19" s="34" t="s">
        <v>20</v>
      </c>
      <c r="B19" s="35"/>
      <c r="C19" s="7">
        <v>10</v>
      </c>
      <c r="D19" s="135"/>
      <c r="E19" s="136"/>
      <c r="F19" s="41" t="s">
        <v>34</v>
      </c>
      <c r="G19" s="42"/>
      <c r="H19" s="43"/>
      <c r="I19" s="47" t="s">
        <v>46</v>
      </c>
      <c r="J19" s="48"/>
      <c r="K19" s="49"/>
    </row>
    <row r="20" spans="1:11" s="1" customFormat="1" ht="20.100000000000001" customHeight="1" x14ac:dyDescent="0.25">
      <c r="A20" s="34" t="s">
        <v>6</v>
      </c>
      <c r="B20" s="35"/>
      <c r="C20" s="6">
        <f>IF(C19=10,2.4, IF(C19=30,2))</f>
        <v>2.4</v>
      </c>
      <c r="D20" s="135"/>
      <c r="E20" s="136"/>
      <c r="F20" s="44"/>
      <c r="G20" s="45"/>
      <c r="H20" s="46"/>
      <c r="I20" s="50"/>
      <c r="J20" s="51"/>
      <c r="K20" s="52"/>
    </row>
    <row r="21" spans="1:11" s="1" customFormat="1" ht="15" customHeight="1" x14ac:dyDescent="0.25">
      <c r="A21" s="29"/>
      <c r="B21" s="30"/>
      <c r="C21" s="30"/>
      <c r="D21" s="30"/>
      <c r="E21" s="30"/>
      <c r="F21" s="30"/>
      <c r="G21" s="30"/>
      <c r="H21" s="30"/>
      <c r="I21" s="30"/>
      <c r="J21" s="30"/>
      <c r="K21" s="31"/>
    </row>
    <row r="22" spans="1:11" s="1" customFormat="1" ht="39.9" customHeight="1" x14ac:dyDescent="0.25">
      <c r="A22" s="19" t="s">
        <v>26</v>
      </c>
      <c r="B22" s="25" t="s">
        <v>39</v>
      </c>
      <c r="C22" s="25" t="s">
        <v>40</v>
      </c>
      <c r="D22" s="15" t="s">
        <v>43</v>
      </c>
      <c r="E22" s="25" t="s">
        <v>24</v>
      </c>
      <c r="F22" s="4"/>
      <c r="G22" s="25" t="s">
        <v>27</v>
      </c>
      <c r="H22" s="28" t="s">
        <v>39</v>
      </c>
      <c r="I22" s="28" t="s">
        <v>40</v>
      </c>
      <c r="J22" s="15" t="s">
        <v>42</v>
      </c>
      <c r="K22" s="5" t="s">
        <v>25</v>
      </c>
    </row>
    <row r="23" spans="1:11" s="1" customFormat="1" ht="20.100000000000001" customHeight="1" x14ac:dyDescent="0.25">
      <c r="A23" s="20">
        <v>1</v>
      </c>
      <c r="B23" s="16">
        <v>19788.32</v>
      </c>
      <c r="C23" s="16">
        <v>18323.52</v>
      </c>
      <c r="D23" s="18">
        <f>IFERROR((B23-C23), "")</f>
        <v>1464.7999999999993</v>
      </c>
      <c r="E23" s="6">
        <f t="shared" ref="E23:E37" si="0">IFERROR((D23*$C$12/$D$14), "")</f>
        <v>109.04620887098757</v>
      </c>
      <c r="F23" s="14"/>
      <c r="G23" s="8">
        <v>16</v>
      </c>
      <c r="H23" s="16" t="s">
        <v>22</v>
      </c>
      <c r="I23" s="16"/>
      <c r="J23" s="18" t="str">
        <f>IFERROR((H23-I23), "")</f>
        <v/>
      </c>
      <c r="K23" s="11" t="str">
        <f t="shared" ref="K23:K37" si="1">IFERROR((J23*$C$12/$D$14), "")</f>
        <v/>
      </c>
    </row>
    <row r="24" spans="1:11" s="1" customFormat="1" ht="20.100000000000001" customHeight="1" x14ac:dyDescent="0.25">
      <c r="A24" s="20">
        <v>2</v>
      </c>
      <c r="B24" s="16">
        <v>19645.64</v>
      </c>
      <c r="C24" s="16">
        <v>18180.560000000001</v>
      </c>
      <c r="D24" s="18">
        <f t="shared" ref="D24:D37" si="2">IFERROR((B24-C24), "")</f>
        <v>1465.0799999999981</v>
      </c>
      <c r="E24" s="6">
        <f t="shared" si="0"/>
        <v>109.06705331287979</v>
      </c>
      <c r="F24" s="14"/>
      <c r="G24" s="8">
        <v>17</v>
      </c>
      <c r="H24" s="16" t="s">
        <v>22</v>
      </c>
      <c r="I24" s="16"/>
      <c r="J24" s="18" t="str">
        <f t="shared" ref="J24:J37" si="3">IFERROR((H24-I24), "")</f>
        <v/>
      </c>
      <c r="K24" s="11" t="str">
        <f t="shared" si="1"/>
        <v/>
      </c>
    </row>
    <row r="25" spans="1:11" s="1" customFormat="1" ht="20.100000000000001" customHeight="1" x14ac:dyDescent="0.25">
      <c r="A25" s="20">
        <v>3</v>
      </c>
      <c r="B25" s="16">
        <v>19638.14</v>
      </c>
      <c r="C25" s="16">
        <v>18175.21</v>
      </c>
      <c r="D25" s="18">
        <f t="shared" si="2"/>
        <v>1462.9300000000003</v>
      </c>
      <c r="E25" s="6">
        <f t="shared" si="0"/>
        <v>108.90699777692105</v>
      </c>
      <c r="F25" s="14"/>
      <c r="G25" s="8">
        <v>18</v>
      </c>
      <c r="H25" s="16" t="s">
        <v>22</v>
      </c>
      <c r="I25" s="16"/>
      <c r="J25" s="18" t="str">
        <f t="shared" si="3"/>
        <v/>
      </c>
      <c r="K25" s="11" t="str">
        <f t="shared" si="1"/>
        <v/>
      </c>
    </row>
    <row r="26" spans="1:11" s="1" customFormat="1" ht="20.100000000000001" customHeight="1" x14ac:dyDescent="0.25">
      <c r="A26" s="20">
        <v>4</v>
      </c>
      <c r="B26" s="16">
        <v>19590.68</v>
      </c>
      <c r="C26" s="16">
        <v>18128.330000000002</v>
      </c>
      <c r="D26" s="18">
        <f t="shared" si="2"/>
        <v>1462.3499999999985</v>
      </c>
      <c r="E26" s="6">
        <f t="shared" si="0"/>
        <v>108.86382000442967</v>
      </c>
      <c r="F26" s="14"/>
      <c r="G26" s="8">
        <v>19</v>
      </c>
      <c r="H26" s="16" t="s">
        <v>22</v>
      </c>
      <c r="I26" s="16"/>
      <c r="J26" s="18" t="str">
        <f t="shared" si="3"/>
        <v/>
      </c>
      <c r="K26" s="11" t="str">
        <f t="shared" si="1"/>
        <v/>
      </c>
    </row>
    <row r="27" spans="1:11" s="1" customFormat="1" ht="20.100000000000001" customHeight="1" x14ac:dyDescent="0.25">
      <c r="A27" s="20">
        <v>5</v>
      </c>
      <c r="B27" s="16">
        <v>19633.93</v>
      </c>
      <c r="C27" s="16">
        <v>18170.509999999998</v>
      </c>
      <c r="D27" s="18">
        <f t="shared" si="2"/>
        <v>1463.4200000000019</v>
      </c>
      <c r="E27" s="6">
        <f t="shared" si="0"/>
        <v>108.94347555023273</v>
      </c>
      <c r="F27" s="14"/>
      <c r="G27" s="8">
        <v>20</v>
      </c>
      <c r="H27" s="16" t="s">
        <v>22</v>
      </c>
      <c r="I27" s="16"/>
      <c r="J27" s="18" t="str">
        <f t="shared" si="3"/>
        <v/>
      </c>
      <c r="K27" s="11" t="str">
        <f t="shared" si="1"/>
        <v/>
      </c>
    </row>
    <row r="28" spans="1:11" s="1" customFormat="1" ht="20.100000000000001" customHeight="1" x14ac:dyDescent="0.25">
      <c r="A28" s="20">
        <v>6</v>
      </c>
      <c r="B28" s="16">
        <v>19724.59</v>
      </c>
      <c r="C28" s="16">
        <v>18261.38</v>
      </c>
      <c r="D28" s="18">
        <f t="shared" si="2"/>
        <v>1463.2099999999991</v>
      </c>
      <c r="E28" s="6">
        <f t="shared" si="0"/>
        <v>108.92784221881327</v>
      </c>
      <c r="F28" s="14"/>
      <c r="G28" s="8">
        <v>21</v>
      </c>
      <c r="H28" s="16" t="s">
        <v>22</v>
      </c>
      <c r="I28" s="16"/>
      <c r="J28" s="18" t="str">
        <f t="shared" si="3"/>
        <v/>
      </c>
      <c r="K28" s="11" t="str">
        <f t="shared" si="1"/>
        <v/>
      </c>
    </row>
    <row r="29" spans="1:11" s="1" customFormat="1" ht="20.100000000000001" customHeight="1" x14ac:dyDescent="0.25">
      <c r="A29" s="20">
        <v>7</v>
      </c>
      <c r="B29" s="16">
        <v>19715.13</v>
      </c>
      <c r="C29" s="16">
        <v>18255.75</v>
      </c>
      <c r="D29" s="18">
        <f t="shared" si="2"/>
        <v>1459.380000000001</v>
      </c>
      <c r="E29" s="6">
        <f t="shared" si="0"/>
        <v>108.64272003150055</v>
      </c>
      <c r="F29" s="14"/>
      <c r="G29" s="8">
        <v>22</v>
      </c>
      <c r="H29" s="16" t="s">
        <v>22</v>
      </c>
      <c r="I29" s="16"/>
      <c r="J29" s="18" t="str">
        <f t="shared" si="3"/>
        <v/>
      </c>
      <c r="K29" s="11" t="str">
        <f t="shared" si="1"/>
        <v/>
      </c>
    </row>
    <row r="30" spans="1:11" s="1" customFormat="1" ht="20.100000000000001" customHeight="1" x14ac:dyDescent="0.25">
      <c r="A30" s="20">
        <v>8</v>
      </c>
      <c r="B30" s="16">
        <v>19657.349999999999</v>
      </c>
      <c r="C30" s="16">
        <v>18198.04</v>
      </c>
      <c r="D30" s="18">
        <f t="shared" si="2"/>
        <v>1459.3099999999977</v>
      </c>
      <c r="E30" s="6">
        <f t="shared" si="0"/>
        <v>108.63750892102723</v>
      </c>
      <c r="F30" s="14"/>
      <c r="G30" s="8">
        <v>23</v>
      </c>
      <c r="H30" s="16" t="s">
        <v>22</v>
      </c>
      <c r="I30" s="16"/>
      <c r="J30" s="18" t="str">
        <f t="shared" si="3"/>
        <v/>
      </c>
      <c r="K30" s="11" t="str">
        <f t="shared" si="1"/>
        <v/>
      </c>
    </row>
    <row r="31" spans="1:11" s="1" customFormat="1" ht="20.100000000000001" customHeight="1" x14ac:dyDescent="0.25">
      <c r="A31" s="20">
        <v>9</v>
      </c>
      <c r="B31" s="16">
        <v>19751.11</v>
      </c>
      <c r="C31" s="16">
        <v>18286.71</v>
      </c>
      <c r="D31" s="18">
        <f t="shared" si="2"/>
        <v>1464.4000000000015</v>
      </c>
      <c r="E31" s="6">
        <f t="shared" si="0"/>
        <v>109.01643109685584</v>
      </c>
      <c r="F31" s="14"/>
      <c r="G31" s="8">
        <v>24</v>
      </c>
      <c r="H31" s="16" t="s">
        <v>22</v>
      </c>
      <c r="I31" s="16"/>
      <c r="J31" s="18" t="str">
        <f t="shared" si="3"/>
        <v/>
      </c>
      <c r="K31" s="11" t="str">
        <f t="shared" si="1"/>
        <v/>
      </c>
    </row>
    <row r="32" spans="1:11" s="1" customFormat="1" ht="20.100000000000001" customHeight="1" x14ac:dyDescent="0.25">
      <c r="A32" s="20">
        <v>10</v>
      </c>
      <c r="B32" s="16">
        <v>19551.439999999999</v>
      </c>
      <c r="C32" s="16">
        <v>18087.96</v>
      </c>
      <c r="D32" s="18">
        <f t="shared" si="2"/>
        <v>1463.4799999999996</v>
      </c>
      <c r="E32" s="6">
        <f t="shared" si="0"/>
        <v>108.94794221635233</v>
      </c>
      <c r="F32" s="14"/>
      <c r="G32" s="8">
        <v>25</v>
      </c>
      <c r="H32" s="16" t="s">
        <v>22</v>
      </c>
      <c r="I32" s="16"/>
      <c r="J32" s="18" t="str">
        <f t="shared" si="3"/>
        <v/>
      </c>
      <c r="K32" s="11" t="str">
        <f t="shared" si="1"/>
        <v/>
      </c>
    </row>
    <row r="33" spans="1:11" s="1" customFormat="1" ht="20.100000000000001" customHeight="1" x14ac:dyDescent="0.25">
      <c r="A33" s="20">
        <v>11</v>
      </c>
      <c r="B33" s="16" t="s">
        <v>22</v>
      </c>
      <c r="C33" s="16"/>
      <c r="D33" s="18" t="str">
        <f t="shared" si="2"/>
        <v/>
      </c>
      <c r="E33" s="6" t="str">
        <f t="shared" si="0"/>
        <v/>
      </c>
      <c r="F33" s="14"/>
      <c r="G33" s="8">
        <v>26</v>
      </c>
      <c r="H33" s="16" t="s">
        <v>22</v>
      </c>
      <c r="I33" s="16"/>
      <c r="J33" s="18" t="str">
        <f t="shared" si="3"/>
        <v/>
      </c>
      <c r="K33" s="11" t="str">
        <f t="shared" si="1"/>
        <v/>
      </c>
    </row>
    <row r="34" spans="1:11" s="1" customFormat="1" ht="20.100000000000001" customHeight="1" x14ac:dyDescent="0.25">
      <c r="A34" s="20">
        <v>12</v>
      </c>
      <c r="B34" s="16" t="s">
        <v>22</v>
      </c>
      <c r="C34" s="16"/>
      <c r="D34" s="18" t="str">
        <f t="shared" si="2"/>
        <v/>
      </c>
      <c r="E34" s="6" t="str">
        <f t="shared" si="0"/>
        <v/>
      </c>
      <c r="F34" s="14"/>
      <c r="G34" s="8">
        <v>27</v>
      </c>
      <c r="H34" s="16" t="s">
        <v>22</v>
      </c>
      <c r="I34" s="16"/>
      <c r="J34" s="18" t="str">
        <f t="shared" si="3"/>
        <v/>
      </c>
      <c r="K34" s="11" t="str">
        <f t="shared" si="1"/>
        <v/>
      </c>
    </row>
    <row r="35" spans="1:11" s="1" customFormat="1" ht="20.100000000000001" customHeight="1" x14ac:dyDescent="0.25">
      <c r="A35" s="20">
        <v>13</v>
      </c>
      <c r="B35" s="16" t="s">
        <v>22</v>
      </c>
      <c r="C35" s="16"/>
      <c r="D35" s="18" t="str">
        <f t="shared" si="2"/>
        <v/>
      </c>
      <c r="E35" s="6" t="str">
        <f t="shared" si="0"/>
        <v/>
      </c>
      <c r="F35" s="14"/>
      <c r="G35" s="8">
        <v>28</v>
      </c>
      <c r="H35" s="16" t="s">
        <v>22</v>
      </c>
      <c r="I35" s="16"/>
      <c r="J35" s="18" t="str">
        <f t="shared" si="3"/>
        <v/>
      </c>
      <c r="K35" s="11" t="str">
        <f t="shared" si="1"/>
        <v/>
      </c>
    </row>
    <row r="36" spans="1:11" s="1" customFormat="1" ht="20.100000000000001" customHeight="1" x14ac:dyDescent="0.25">
      <c r="A36" s="20">
        <v>14</v>
      </c>
      <c r="B36" s="16" t="s">
        <v>22</v>
      </c>
      <c r="C36" s="16"/>
      <c r="D36" s="18" t="str">
        <f t="shared" si="2"/>
        <v/>
      </c>
      <c r="E36" s="6" t="str">
        <f t="shared" si="0"/>
        <v/>
      </c>
      <c r="F36" s="14"/>
      <c r="G36" s="8">
        <v>29</v>
      </c>
      <c r="H36" s="16" t="s">
        <v>22</v>
      </c>
      <c r="I36" s="16"/>
      <c r="J36" s="18" t="str">
        <f t="shared" si="3"/>
        <v/>
      </c>
      <c r="K36" s="11" t="str">
        <f t="shared" si="1"/>
        <v/>
      </c>
    </row>
    <row r="37" spans="1:11" s="1" customFormat="1" ht="20.100000000000001" customHeight="1" x14ac:dyDescent="0.25">
      <c r="A37" s="20">
        <v>15</v>
      </c>
      <c r="B37" s="16" t="s">
        <v>22</v>
      </c>
      <c r="C37" s="16"/>
      <c r="D37" s="18" t="str">
        <f t="shared" si="2"/>
        <v/>
      </c>
      <c r="E37" s="6" t="str">
        <f t="shared" si="0"/>
        <v/>
      </c>
      <c r="F37" s="14"/>
      <c r="G37" s="8">
        <v>30</v>
      </c>
      <c r="H37" s="16" t="s">
        <v>22</v>
      </c>
      <c r="I37" s="16"/>
      <c r="J37" s="18" t="str">
        <f t="shared" si="3"/>
        <v/>
      </c>
      <c r="K37" s="11" t="str">
        <f t="shared" si="1"/>
        <v/>
      </c>
    </row>
    <row r="38" spans="1:11" s="1" customFormat="1" ht="15" customHeight="1" x14ac:dyDescent="0.25">
      <c r="A38" s="21"/>
      <c r="B38" s="4"/>
      <c r="C38" s="4"/>
      <c r="D38" s="4"/>
      <c r="E38" s="4"/>
      <c r="F38" s="4"/>
      <c r="G38" s="9"/>
      <c r="H38" s="9"/>
      <c r="I38" s="9"/>
      <c r="J38" s="9"/>
      <c r="K38" s="10"/>
    </row>
    <row r="39" spans="1:11" s="1" customFormat="1" ht="20.100000000000001" customHeight="1" x14ac:dyDescent="0.25">
      <c r="A39" s="21"/>
      <c r="B39" s="4"/>
      <c r="C39" s="4"/>
      <c r="D39" s="4"/>
      <c r="E39" s="4"/>
      <c r="F39" s="59"/>
      <c r="G39" s="59"/>
      <c r="H39" s="59"/>
      <c r="I39" s="60"/>
      <c r="J39" s="25" t="s">
        <v>7</v>
      </c>
      <c r="K39" s="27">
        <f>IFERROR((ROUND(AVERAGE(E23:E37,K23:K37),1)), "")</f>
        <v>108.9</v>
      </c>
    </row>
    <row r="40" spans="1:11" s="1" customFormat="1" ht="20.100000000000001" customHeight="1" x14ac:dyDescent="0.25">
      <c r="A40" s="77" t="s">
        <v>5</v>
      </c>
      <c r="B40" s="78"/>
      <c r="C40" s="78"/>
      <c r="D40" s="78"/>
      <c r="E40" s="78"/>
      <c r="F40" s="59"/>
      <c r="G40" s="59"/>
      <c r="H40" s="59"/>
      <c r="I40" s="60"/>
      <c r="J40" s="25" t="s">
        <v>1</v>
      </c>
      <c r="K40" s="26">
        <f>IFERROR((MIN(E23:E37,K23:K37)), "")</f>
        <v>108.63750892102723</v>
      </c>
    </row>
    <row r="41" spans="1:11" s="1" customFormat="1" ht="20.100000000000001" customHeight="1" x14ac:dyDescent="0.25">
      <c r="A41" s="109" t="s">
        <v>12</v>
      </c>
      <c r="B41" s="110"/>
      <c r="C41" s="111"/>
      <c r="D41" s="53" t="s">
        <v>9</v>
      </c>
      <c r="E41" s="53"/>
      <c r="F41" s="59"/>
      <c r="G41" s="59"/>
      <c r="H41" s="59"/>
      <c r="I41" s="60"/>
      <c r="J41" s="25" t="s">
        <v>2</v>
      </c>
      <c r="K41" s="26">
        <f>IFERROR((MAX(E23:E37,K23:K37)), "")</f>
        <v>109.06705331287979</v>
      </c>
    </row>
    <row r="42" spans="1:11" s="1" customFormat="1" ht="20.100000000000001" customHeight="1" x14ac:dyDescent="0.25">
      <c r="A42" s="109" t="s">
        <v>13</v>
      </c>
      <c r="B42" s="110"/>
      <c r="C42" s="111"/>
      <c r="D42" s="53" t="s">
        <v>10</v>
      </c>
      <c r="E42" s="53"/>
      <c r="F42" s="59"/>
      <c r="G42" s="59"/>
      <c r="H42" s="59"/>
      <c r="I42" s="60"/>
      <c r="J42" s="25" t="s">
        <v>3</v>
      </c>
      <c r="K42" s="12">
        <f>IFERROR((ROUND(STDEV(E23:E37,K23:K37),2)), "")</f>
        <v>0.15</v>
      </c>
    </row>
    <row r="43" spans="1:11" s="1" customFormat="1" ht="20.100000000000001" customHeight="1" x14ac:dyDescent="0.25">
      <c r="A43" s="109" t="s">
        <v>14</v>
      </c>
      <c r="B43" s="110"/>
      <c r="C43" s="111"/>
      <c r="D43" s="53" t="s">
        <v>11</v>
      </c>
      <c r="E43" s="53"/>
      <c r="F43" s="59"/>
      <c r="G43" s="59"/>
      <c r="H43" s="59"/>
      <c r="I43" s="60"/>
      <c r="J43" s="25" t="s">
        <v>4</v>
      </c>
      <c r="K43" s="12">
        <f>IFERROR((ROUND(K42*100/K39,2)), "")</f>
        <v>0.14000000000000001</v>
      </c>
    </row>
    <row r="44" spans="1:11" s="1" customFormat="1" ht="15" customHeight="1" x14ac:dyDescent="0.25">
      <c r="A44" s="29"/>
      <c r="B44" s="30"/>
      <c r="C44" s="30"/>
      <c r="D44" s="30"/>
      <c r="E44" s="30"/>
      <c r="F44" s="30"/>
      <c r="G44" s="30"/>
      <c r="H44" s="30"/>
      <c r="I44" s="30"/>
      <c r="J44" s="30"/>
      <c r="K44" s="31"/>
    </row>
    <row r="45" spans="1:11" s="1" customFormat="1" ht="20.100000000000001" customHeight="1" x14ac:dyDescent="0.25">
      <c r="A45" s="61" t="s">
        <v>35</v>
      </c>
      <c r="B45" s="62"/>
      <c r="C45" s="65" t="s">
        <v>37</v>
      </c>
      <c r="D45" s="66"/>
      <c r="E45" s="62"/>
      <c r="F45" s="23"/>
      <c r="G45" s="23"/>
      <c r="H45" s="23"/>
      <c r="I45" s="23"/>
      <c r="J45" s="23"/>
      <c r="K45" s="24"/>
    </row>
    <row r="46" spans="1:11" s="1" customFormat="1" ht="20.100000000000001" customHeight="1" x14ac:dyDescent="0.25">
      <c r="A46" s="63"/>
      <c r="B46" s="64"/>
      <c r="C46" s="67"/>
      <c r="D46" s="68"/>
      <c r="E46" s="64"/>
      <c r="F46" s="108"/>
      <c r="G46" s="108"/>
      <c r="H46" s="131" t="s">
        <v>21</v>
      </c>
      <c r="I46" s="131"/>
      <c r="J46" s="129">
        <f>IFERROR((ROUND(IF(K39&lt;101.5,IF(K39&lt;98.5,((98.5-K39)+($C$20*K42)),$C$20*K42),((K39-101.5)+($C$20*K42))),1)), "")</f>
        <v>7.8</v>
      </c>
      <c r="K46" s="130"/>
    </row>
    <row r="47" spans="1:11" s="1" customFormat="1" ht="20.100000000000001" customHeight="1" x14ac:dyDescent="0.25">
      <c r="A47" s="69">
        <f>IF(98.5&gt;=K39&lt;=101.5,K39)+IF(K39&lt;98.5, "98.5")+IF(K39&gt;101.5, "101.5")</f>
        <v>101.5</v>
      </c>
      <c r="B47" s="70"/>
      <c r="C47" s="73" t="str">
        <f>IF(A47=0,K39, "")</f>
        <v/>
      </c>
      <c r="D47" s="74"/>
      <c r="E47" s="70"/>
      <c r="F47" s="108"/>
      <c r="G47" s="108"/>
      <c r="H47" s="131"/>
      <c r="I47" s="131"/>
      <c r="J47" s="129"/>
      <c r="K47" s="130"/>
    </row>
    <row r="48" spans="1:11" s="1" customFormat="1" ht="20.100000000000001" customHeight="1" x14ac:dyDescent="0.25">
      <c r="A48" s="71"/>
      <c r="B48" s="72"/>
      <c r="C48" s="75"/>
      <c r="D48" s="76"/>
      <c r="E48" s="72"/>
      <c r="F48" s="108"/>
      <c r="G48" s="108"/>
      <c r="H48" s="131"/>
      <c r="I48" s="131"/>
      <c r="J48" s="129"/>
      <c r="K48" s="130"/>
    </row>
    <row r="49" spans="1:11" s="1" customFormat="1" ht="15" customHeight="1" x14ac:dyDescent="0.25">
      <c r="A49" s="29"/>
      <c r="B49" s="30"/>
      <c r="C49" s="30"/>
      <c r="D49" s="30"/>
      <c r="E49" s="30"/>
      <c r="F49" s="30"/>
      <c r="G49" s="30"/>
      <c r="H49" s="30"/>
      <c r="I49" s="30"/>
      <c r="J49" s="30"/>
      <c r="K49" s="31"/>
    </row>
    <row r="50" spans="1:11" s="1" customFormat="1" ht="20.100000000000001" customHeight="1" x14ac:dyDescent="0.25">
      <c r="A50" s="54" t="s">
        <v>16</v>
      </c>
      <c r="B50" s="55"/>
      <c r="C50" s="128"/>
      <c r="D50" s="128"/>
      <c r="E50" s="128"/>
      <c r="F50" s="101"/>
      <c r="G50" s="56"/>
      <c r="H50" s="125" t="s">
        <v>17</v>
      </c>
      <c r="I50" s="102"/>
      <c r="J50" s="103"/>
      <c r="K50" s="104"/>
    </row>
    <row r="51" spans="1:11" s="1" customFormat="1" ht="20.100000000000001" customHeight="1" x14ac:dyDescent="0.25">
      <c r="A51" s="38"/>
      <c r="B51" s="56"/>
      <c r="C51" s="128"/>
      <c r="D51" s="128"/>
      <c r="E51" s="128"/>
      <c r="F51" s="101"/>
      <c r="G51" s="56"/>
      <c r="H51" s="126"/>
      <c r="I51" s="101"/>
      <c r="J51" s="39"/>
      <c r="K51" s="40"/>
    </row>
    <row r="52" spans="1:11" s="1" customFormat="1" ht="20.100000000000001" customHeight="1" x14ac:dyDescent="0.25">
      <c r="A52" s="38"/>
      <c r="B52" s="56"/>
      <c r="C52" s="128"/>
      <c r="D52" s="128"/>
      <c r="E52" s="128"/>
      <c r="F52" s="101"/>
      <c r="G52" s="56"/>
      <c r="H52" s="126"/>
      <c r="I52" s="101"/>
      <c r="J52" s="39"/>
      <c r="K52" s="40"/>
    </row>
    <row r="53" spans="1:11" s="1" customFormat="1" ht="20.100000000000001" customHeight="1" x14ac:dyDescent="0.25">
      <c r="A53" s="57"/>
      <c r="B53" s="58"/>
      <c r="C53" s="128"/>
      <c r="D53" s="128"/>
      <c r="E53" s="128"/>
      <c r="F53" s="101"/>
      <c r="G53" s="56"/>
      <c r="H53" s="127"/>
      <c r="I53" s="105"/>
      <c r="J53" s="106"/>
      <c r="K53" s="107"/>
    </row>
    <row r="54" spans="1:11" s="1" customFormat="1" ht="13.8" thickBot="1" x14ac:dyDescent="0.3">
      <c r="A54" s="96"/>
      <c r="B54" s="97"/>
      <c r="C54" s="97"/>
      <c r="D54" s="97"/>
      <c r="E54" s="97"/>
      <c r="F54" s="97"/>
      <c r="G54" s="97"/>
      <c r="H54" s="97"/>
      <c r="I54" s="97"/>
      <c r="J54" s="97"/>
      <c r="K54" s="98"/>
    </row>
    <row r="55" spans="1:11" s="1" customFormat="1" ht="25.5" customHeight="1" x14ac:dyDescent="0.25"/>
    <row r="56" spans="1:11" s="1" customFormat="1" x14ac:dyDescent="0.25"/>
    <row r="57" spans="1:11" s="1" customFormat="1" x14ac:dyDescent="0.25"/>
    <row r="58" spans="1:11" x14ac:dyDescent="0.25">
      <c r="B58" s="1"/>
      <c r="C58" s="1"/>
      <c r="D58" s="1"/>
      <c r="E58" s="1"/>
      <c r="F58" s="1"/>
      <c r="G58" s="1"/>
      <c r="H58" s="1"/>
      <c r="I58" s="1"/>
      <c r="J58" s="1"/>
      <c r="K58" s="1"/>
    </row>
  </sheetData>
  <sheetProtection selectLockedCells="1"/>
  <customSheetViews>
    <customSheetView guid="{73A0A9C6-2018-11D4-9DDC-0090272F132D}" scale="75" showRuler="0" topLeftCell="F85">
      <selection activeCell="M93" sqref="M93"/>
      <pageMargins left="0.75" right="0.75" top="0.25" bottom="0.25" header="0.5" footer="0.5"/>
      <pageSetup orientation="landscape" r:id="rId1"/>
      <headerFooter alignWithMargins="0"/>
    </customSheetView>
    <customSheetView guid="{AB25F826-40B4-47B6-85A6-61668E02E365}" scale="85" showGridLines="0" fitToPage="1">
      <selection activeCell="B35" sqref="B35:I35"/>
      <pageMargins left="0.59055118110236227" right="0.23622047244094491" top="0.59055118110236227" bottom="0.11811023622047245" header="0.19685039370078741" footer="0.31496062992125984"/>
      <printOptions horizontalCentered="1"/>
      <pageSetup scale="52" orientation="portrait" r:id="rId2"/>
      <headerFooter alignWithMargins="0">
        <oddFooter>&amp;L&amp;Z&amp;F&amp;F\&amp;A</oddFooter>
      </headerFooter>
    </customSheetView>
  </customSheetViews>
  <mergeCells count="58">
    <mergeCell ref="A6:K6"/>
    <mergeCell ref="D19:E20"/>
    <mergeCell ref="A7:B7"/>
    <mergeCell ref="A8:B8"/>
    <mergeCell ref="A9:B9"/>
    <mergeCell ref="A10:B10"/>
    <mergeCell ref="A11:B11"/>
    <mergeCell ref="F13:G14"/>
    <mergeCell ref="D11:G12"/>
    <mergeCell ref="H11:K11"/>
    <mergeCell ref="A14:B14"/>
    <mergeCell ref="C7:K7"/>
    <mergeCell ref="C8:K8"/>
    <mergeCell ref="C9:K9"/>
    <mergeCell ref="C10:K10"/>
    <mergeCell ref="A18:K18"/>
    <mergeCell ref="A54:K54"/>
    <mergeCell ref="D13:E13"/>
    <mergeCell ref="D14:E14"/>
    <mergeCell ref="F50:G53"/>
    <mergeCell ref="I50:K53"/>
    <mergeCell ref="D43:E43"/>
    <mergeCell ref="F46:G48"/>
    <mergeCell ref="A41:C41"/>
    <mergeCell ref="A42:C42"/>
    <mergeCell ref="A43:C43"/>
    <mergeCell ref="H12:K14"/>
    <mergeCell ref="A16:B17"/>
    <mergeCell ref="H50:H53"/>
    <mergeCell ref="C50:E53"/>
    <mergeCell ref="J46:K48"/>
    <mergeCell ref="H46:I48"/>
    <mergeCell ref="C5:K5"/>
    <mergeCell ref="A1:K1"/>
    <mergeCell ref="A2:K2"/>
    <mergeCell ref="A3:K3"/>
    <mergeCell ref="A4:K4"/>
    <mergeCell ref="A5:B5"/>
    <mergeCell ref="D41:E41"/>
    <mergeCell ref="D42:E42"/>
    <mergeCell ref="A49:K49"/>
    <mergeCell ref="A50:B53"/>
    <mergeCell ref="F39:I43"/>
    <mergeCell ref="A45:B46"/>
    <mergeCell ref="C45:E46"/>
    <mergeCell ref="A47:B48"/>
    <mergeCell ref="C47:E48"/>
    <mergeCell ref="A40:E40"/>
    <mergeCell ref="A44:K44"/>
    <mergeCell ref="A21:K21"/>
    <mergeCell ref="A12:B12"/>
    <mergeCell ref="A13:B13"/>
    <mergeCell ref="A19:B19"/>
    <mergeCell ref="A20:B20"/>
    <mergeCell ref="C16:K17"/>
    <mergeCell ref="A15:K15"/>
    <mergeCell ref="F19:H20"/>
    <mergeCell ref="I19:K20"/>
  </mergeCells>
  <phoneticPr fontId="2" type="noConversion"/>
  <printOptions horizontalCentered="1"/>
  <pageMargins left="0.39370078740157483" right="0.39370078740157483" top="0.39370078740157483" bottom="0.11811023622047245" header="0.19685039370078741" footer="0.11811023622047245"/>
  <pageSetup scale="75" orientation="portrait" r:id="rId3"/>
  <headerFooter alignWithMargins="0">
    <oddFooter>&amp;L&amp;Z&amp;F&amp;F\&amp;A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CONTENT UNIFORMITY</vt:lpstr>
      <vt:lpstr>'CONTENT UNIFORMITY'!Print_Area</vt:lpstr>
    </vt:vector>
  </TitlesOfParts>
  <Company>tpl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trc</dc:creator>
  <cp:lastModifiedBy>Kathrotia, Tarang</cp:lastModifiedBy>
  <cp:lastPrinted>2023-08-25T06:22:46Z</cp:lastPrinted>
  <dcterms:created xsi:type="dcterms:W3CDTF">2000-04-21T10:02:36Z</dcterms:created>
  <dcterms:modified xsi:type="dcterms:W3CDTF">2026-06-24T10:29:45Z</dcterms:modified>
</cp:coreProperties>
</file>