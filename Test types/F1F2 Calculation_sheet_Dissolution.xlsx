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1) Analytical Planning\Calculation sheet_AD_NDDS\"/>
    </mc:Choice>
  </mc:AlternateContent>
  <bookViews>
    <workbookView xWindow="0" yWindow="0" windowWidth="20490" windowHeight="7770"/>
  </bookViews>
  <sheets>
    <sheet name="f1f2" sheetId="1" r:id="rId1"/>
  </sheets>
  <definedNames>
    <definedName name="_xlnm.Print_Area" localSheetId="0">f1f2!$A$1:$AM$58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5" i="1" l="1"/>
  <c r="AG25" i="1"/>
  <c r="AH25" i="1"/>
  <c r="AI25" i="1"/>
  <c r="P25" i="1"/>
  <c r="O25" i="1"/>
  <c r="N25" i="1"/>
  <c r="M25" i="1"/>
  <c r="L25" i="1"/>
  <c r="K25" i="1"/>
  <c r="J25" i="1"/>
  <c r="I25" i="1"/>
  <c r="H25" i="1"/>
  <c r="G25" i="1"/>
  <c r="F25" i="1"/>
  <c r="E25" i="1" l="1"/>
  <c r="D25" i="1" l="1"/>
  <c r="X25" i="1" l="1"/>
  <c r="Y25" i="1"/>
  <c r="Z25" i="1"/>
  <c r="AA25" i="1"/>
  <c r="AB25" i="1"/>
  <c r="AC25" i="1"/>
  <c r="AD25" i="1"/>
  <c r="AE25" i="1"/>
  <c r="W25" i="1"/>
  <c r="X29" i="1" l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6" i="1"/>
  <c r="Y26" i="1"/>
  <c r="Z26" i="1"/>
  <c r="AA26" i="1"/>
  <c r="AB26" i="1"/>
  <c r="AC26" i="1"/>
  <c r="AD26" i="1"/>
  <c r="AE26" i="1"/>
  <c r="AE27" i="1" s="1"/>
  <c r="AF26" i="1"/>
  <c r="AG26" i="1"/>
  <c r="AH26" i="1"/>
  <c r="AI26" i="1"/>
  <c r="AJ26" i="1"/>
  <c r="AK26" i="1"/>
  <c r="AK27" i="1" s="1"/>
  <c r="AL26" i="1"/>
  <c r="AJ25" i="1"/>
  <c r="AK25" i="1"/>
  <c r="AL25" i="1"/>
  <c r="W29" i="1"/>
  <c r="W28" i="1"/>
  <c r="W26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D29" i="1"/>
  <c r="D28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Q27" i="1" s="1"/>
  <c r="R26" i="1"/>
  <c r="S26" i="1"/>
  <c r="D26" i="1"/>
  <c r="Q25" i="1"/>
  <c r="R25" i="1"/>
  <c r="S25" i="1"/>
  <c r="R27" i="1" l="1"/>
  <c r="AJ27" i="1"/>
  <c r="AL27" i="1"/>
  <c r="S27" i="1"/>
  <c r="AH27" i="1"/>
  <c r="AG27" i="1"/>
  <c r="AF27" i="1"/>
  <c r="N27" i="1"/>
  <c r="P27" i="1"/>
  <c r="O27" i="1"/>
  <c r="AI27" i="1"/>
  <c r="M27" i="1"/>
  <c r="Z27" i="1"/>
  <c r="AD27" i="1"/>
  <c r="Y27" i="1"/>
  <c r="X27" i="1"/>
  <c r="AC27" i="1"/>
  <c r="AB27" i="1"/>
  <c r="F27" i="1"/>
  <c r="J27" i="1"/>
  <c r="I27" i="1"/>
  <c r="K27" i="1"/>
  <c r="L27" i="1"/>
  <c r="AA27" i="1"/>
  <c r="W27" i="1"/>
  <c r="H27" i="1"/>
  <c r="G27" i="1"/>
  <c r="E27" i="1"/>
  <c r="D27" i="1"/>
  <c r="AF31" i="1"/>
  <c r="V48" i="1" l="1"/>
  <c r="T49" i="1"/>
  <c r="T43" i="1"/>
  <c r="T50" i="1"/>
  <c r="T51" i="1"/>
  <c r="T47" i="1"/>
  <c r="T46" i="1"/>
  <c r="T44" i="1"/>
  <c r="T42" i="1"/>
  <c r="T37" i="1"/>
  <c r="T40" i="1"/>
  <c r="T41" i="1"/>
  <c r="V36" i="1"/>
  <c r="V44" i="1"/>
  <c r="V40" i="1"/>
  <c r="V41" i="1"/>
  <c r="V37" i="1"/>
  <c r="V45" i="1"/>
  <c r="V38" i="1"/>
  <c r="V46" i="1"/>
  <c r="V39" i="1"/>
  <c r="V47" i="1"/>
  <c r="V49" i="1"/>
  <c r="V50" i="1"/>
  <c r="V42" i="1"/>
  <c r="V43" i="1"/>
  <c r="V51" i="1"/>
  <c r="T36" i="1"/>
  <c r="T45" i="1"/>
  <c r="T39" i="1"/>
  <c r="T48" i="1"/>
  <c r="AA51" i="1"/>
  <c r="AB51" i="1" s="1"/>
  <c r="U51" i="1"/>
  <c r="S51" i="1"/>
  <c r="R51" i="1"/>
  <c r="AA50" i="1"/>
  <c r="AB50" i="1" s="1"/>
  <c r="U50" i="1"/>
  <c r="S50" i="1"/>
  <c r="R50" i="1"/>
  <c r="AB49" i="1"/>
  <c r="AA49" i="1"/>
  <c r="U49" i="1"/>
  <c r="S49" i="1"/>
  <c r="R49" i="1"/>
  <c r="AA48" i="1"/>
  <c r="AB48" i="1" s="1"/>
  <c r="U48" i="1"/>
  <c r="S48" i="1"/>
  <c r="R48" i="1"/>
  <c r="AA47" i="1"/>
  <c r="AB47" i="1" s="1"/>
  <c r="U47" i="1"/>
  <c r="S47" i="1"/>
  <c r="R47" i="1"/>
  <c r="AA46" i="1"/>
  <c r="AB46" i="1" s="1"/>
  <c r="U46" i="1"/>
  <c r="S46" i="1"/>
  <c r="R46" i="1"/>
  <c r="AA45" i="1"/>
  <c r="AB45" i="1" s="1"/>
  <c r="U45" i="1"/>
  <c r="S45" i="1"/>
  <c r="R45" i="1"/>
  <c r="AA44" i="1"/>
  <c r="AB44" i="1" s="1"/>
  <c r="U44" i="1"/>
  <c r="S44" i="1"/>
  <c r="R44" i="1"/>
  <c r="AA43" i="1"/>
  <c r="AB43" i="1" s="1"/>
  <c r="U43" i="1"/>
  <c r="S43" i="1"/>
  <c r="R43" i="1"/>
  <c r="AA42" i="1"/>
  <c r="AB42" i="1" s="1"/>
  <c r="U42" i="1"/>
  <c r="S42" i="1"/>
  <c r="R42" i="1"/>
  <c r="U41" i="1"/>
  <c r="S41" i="1"/>
  <c r="R41" i="1"/>
  <c r="AA40" i="1"/>
  <c r="AB40" i="1" s="1"/>
  <c r="U40" i="1"/>
  <c r="S40" i="1"/>
  <c r="R40" i="1"/>
  <c r="AA39" i="1"/>
  <c r="AB39" i="1" s="1"/>
  <c r="U39" i="1"/>
  <c r="S39" i="1"/>
  <c r="R39" i="1"/>
  <c r="U38" i="1"/>
  <c r="AA38" i="1" s="1"/>
  <c r="AB38" i="1" s="1"/>
  <c r="T38" i="1"/>
  <c r="S38" i="1"/>
  <c r="R38" i="1"/>
  <c r="AA37" i="1"/>
  <c r="AB37" i="1" s="1"/>
  <c r="U37" i="1"/>
  <c r="S37" i="1"/>
  <c r="R37" i="1"/>
  <c r="U36" i="1"/>
  <c r="S36" i="1"/>
  <c r="R36" i="1"/>
  <c r="X34" i="1"/>
  <c r="U34" i="1"/>
  <c r="Z34" i="1" s="1"/>
  <c r="S34" i="1"/>
  <c r="Y34" i="1" s="1"/>
  <c r="R34" i="1"/>
  <c r="AD11" i="1"/>
  <c r="AA41" i="1" l="1"/>
  <c r="AB41" i="1" s="1"/>
  <c r="AL32" i="1"/>
  <c r="AA36" i="1"/>
  <c r="T34" i="1"/>
  <c r="V34" i="1"/>
  <c r="AL31" i="1" l="1"/>
  <c r="AL33" i="1" s="1"/>
  <c r="AB36" i="1"/>
  <c r="AH35" i="1" s="1"/>
  <c r="AH36" i="1" s="1"/>
  <c r="AH37" i="1" s="1"/>
  <c r="AH38" i="1" s="1"/>
  <c r="AH41" i="1" s="1"/>
  <c r="AH44" i="1" s="1"/>
  <c r="AH50" i="1" s="1"/>
</calcChain>
</file>

<file path=xl/sharedStrings.xml><?xml version="1.0" encoding="utf-8"?>
<sst xmlns="http://schemas.openxmlformats.org/spreadsheetml/2006/main" count="92" uniqueCount="58">
  <si>
    <t>Emcure</t>
  </si>
  <si>
    <t>R &amp; D Gandhinagar, Analytical Development</t>
  </si>
  <si>
    <t>Dissolution Compilation</t>
  </si>
  <si>
    <t>Product Name</t>
  </si>
  <si>
    <t>Batch No.</t>
  </si>
  <si>
    <t>RPM</t>
  </si>
  <si>
    <t>Media</t>
  </si>
  <si>
    <t>Volume</t>
  </si>
  <si>
    <t>Time Points in</t>
  </si>
  <si>
    <t>UNIT</t>
  </si>
  <si>
    <t>SD</t>
  </si>
  <si>
    <t>−</t>
  </si>
  <si>
    <t>%RSD</t>
  </si>
  <si>
    <t>Min</t>
  </si>
  <si>
    <t>Max</t>
  </si>
  <si>
    <t>Total Time Points</t>
  </si>
  <si>
    <t>n</t>
  </si>
  <si>
    <t>Σ [R(t)]</t>
  </si>
  <si>
    <t>Time</t>
  </si>
  <si>
    <t>% RSD</t>
  </si>
  <si>
    <t xml:space="preserve"> 1 +Σ [R(t) -T(t)]2 / n</t>
  </si>
  <si>
    <t>log       1 +Σ [R(t) -T(t)]2 / n</t>
  </si>
  <si>
    <t>Minimum 3 Time points required</t>
  </si>
  <si>
    <t>Time point should be same for both Ref. and Test Product</t>
  </si>
  <si>
    <t>Not more than one mean value of &gt;85% dissolved for both Ref. and Test Product</t>
  </si>
  <si>
    <t>% RSD should be less than 20% for 1st Time point</t>
  </si>
  <si>
    <t>% RSD should be less than 10% for 2nd to Last Time point</t>
  </si>
  <si>
    <t>number of time points</t>
  </si>
  <si>
    <t>Prepare by</t>
  </si>
  <si>
    <t>Check by</t>
  </si>
  <si>
    <t>Mean % of Ref. Product dissolved at time t</t>
  </si>
  <si>
    <t>Mean % of Test Product dissolved at time t</t>
  </si>
  <si>
    <r>
      <t>f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f</t>
    </r>
    <r>
      <rPr>
        <b/>
        <vertAlign val="subscript"/>
        <sz val="11"/>
        <rFont val="Arial"/>
        <family val="2"/>
      </rPr>
      <t>2</t>
    </r>
  </si>
  <si>
    <r>
      <t>Σ [</t>
    </r>
    <r>
      <rPr>
        <i/>
        <sz val="11"/>
        <rFont val="Arial"/>
        <family val="2"/>
      </rPr>
      <t>R</t>
    </r>
    <r>
      <rPr>
        <i/>
        <vertAlign val="subscript"/>
        <sz val="11"/>
        <rFont val="Arial"/>
        <family val="2"/>
      </rPr>
      <t xml:space="preserve">(t) </t>
    </r>
    <r>
      <rPr>
        <i/>
        <sz val="11"/>
        <rFont val="Arial"/>
        <family val="2"/>
      </rPr>
      <t>-T</t>
    </r>
    <r>
      <rPr>
        <i/>
        <vertAlign val="subscript"/>
        <sz val="11"/>
        <rFont val="Arial"/>
        <family val="2"/>
      </rPr>
      <t>(t)</t>
    </r>
    <r>
      <rPr>
        <sz val="11"/>
        <rFont val="Arial"/>
        <family val="2"/>
      </rPr>
      <t>]</t>
    </r>
  </si>
  <si>
    <r>
      <t>T</t>
    </r>
    <r>
      <rPr>
        <b/>
        <i/>
        <vertAlign val="subscript"/>
        <sz val="11"/>
        <rFont val="Arial"/>
        <family val="2"/>
      </rPr>
      <t>(t)</t>
    </r>
  </si>
  <si>
    <r>
      <rPr>
        <b/>
        <i/>
        <sz val="11"/>
        <rFont val="Arial"/>
        <family val="2"/>
      </rPr>
      <t>R</t>
    </r>
    <r>
      <rPr>
        <b/>
        <i/>
        <vertAlign val="subscript"/>
        <sz val="11"/>
        <rFont val="Arial"/>
        <family val="2"/>
      </rPr>
      <t>(t)</t>
    </r>
  </si>
  <si>
    <r>
      <rPr>
        <b/>
        <sz val="11"/>
        <rFont val="Arial"/>
        <family val="2"/>
      </rPr>
      <t>[</t>
    </r>
    <r>
      <rPr>
        <b/>
        <i/>
        <sz val="11"/>
        <rFont val="Arial"/>
        <family val="2"/>
      </rPr>
      <t>R</t>
    </r>
    <r>
      <rPr>
        <b/>
        <i/>
        <vertAlign val="subscript"/>
        <sz val="11"/>
        <rFont val="Arial"/>
        <family val="2"/>
      </rPr>
      <t>(t)</t>
    </r>
    <r>
      <rPr>
        <b/>
        <i/>
        <sz val="11"/>
        <rFont val="Arial"/>
        <family val="2"/>
      </rPr>
      <t>-T</t>
    </r>
    <r>
      <rPr>
        <b/>
        <i/>
        <vertAlign val="subscript"/>
        <sz val="11"/>
        <rFont val="Arial"/>
        <family val="2"/>
      </rPr>
      <t>(t)</t>
    </r>
    <r>
      <rPr>
        <b/>
        <sz val="11"/>
        <rFont val="Arial"/>
        <family val="2"/>
      </rPr>
      <t>]</t>
    </r>
  </si>
  <si>
    <r>
      <t>[</t>
    </r>
    <r>
      <rPr>
        <b/>
        <i/>
        <sz val="11"/>
        <rFont val="Arial"/>
        <family val="2"/>
      </rPr>
      <t>R</t>
    </r>
    <r>
      <rPr>
        <b/>
        <i/>
        <vertAlign val="subscript"/>
        <sz val="11"/>
        <rFont val="Arial"/>
        <family val="2"/>
      </rPr>
      <t>(t)</t>
    </r>
    <r>
      <rPr>
        <b/>
        <i/>
        <sz val="11"/>
        <rFont val="Arial"/>
        <family val="2"/>
      </rPr>
      <t xml:space="preserve"> -T</t>
    </r>
    <r>
      <rPr>
        <b/>
        <i/>
        <vertAlign val="subscript"/>
        <sz val="11"/>
        <rFont val="Arial"/>
        <family val="2"/>
      </rPr>
      <t>(t)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2</t>
    </r>
  </si>
  <si>
    <r>
      <t>f</t>
    </r>
    <r>
      <rPr>
        <b/>
        <vertAlign val="subscript"/>
        <sz val="11"/>
        <rFont val="Arial"/>
        <family val="2"/>
      </rPr>
      <t>1</t>
    </r>
  </si>
  <si>
    <r>
      <t>Σ [</t>
    </r>
    <r>
      <rPr>
        <i/>
        <sz val="11"/>
        <rFont val="Arial"/>
        <family val="2"/>
      </rPr>
      <t>R</t>
    </r>
    <r>
      <rPr>
        <i/>
        <vertAlign val="subscript"/>
        <sz val="11"/>
        <rFont val="Arial"/>
        <family val="2"/>
      </rPr>
      <t>(t)</t>
    </r>
    <r>
      <rPr>
        <i/>
        <sz val="11"/>
        <rFont val="Arial"/>
        <family val="2"/>
      </rPr>
      <t xml:space="preserve"> -T</t>
    </r>
    <r>
      <rPr>
        <i/>
        <vertAlign val="subscript"/>
        <sz val="11"/>
        <rFont val="Arial"/>
        <family val="2"/>
      </rPr>
      <t>(t)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2</t>
    </r>
  </si>
  <si>
    <r>
      <t>Σ [</t>
    </r>
    <r>
      <rPr>
        <i/>
        <sz val="11"/>
        <rFont val="Arial"/>
        <family val="2"/>
      </rPr>
      <t>R</t>
    </r>
    <r>
      <rPr>
        <i/>
        <vertAlign val="subscript"/>
        <sz val="11"/>
        <rFont val="Arial"/>
        <family val="2"/>
      </rPr>
      <t>(t)</t>
    </r>
    <r>
      <rPr>
        <i/>
        <sz val="11"/>
        <rFont val="Arial"/>
        <family val="2"/>
      </rPr>
      <t xml:space="preserve"> -T</t>
    </r>
    <r>
      <rPr>
        <i/>
        <vertAlign val="subscript"/>
        <sz val="11"/>
        <rFont val="Arial"/>
        <family val="2"/>
      </rPr>
      <t>(t)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2 </t>
    </r>
    <r>
      <rPr>
        <sz val="11"/>
        <rFont val="Arial"/>
        <family val="2"/>
      </rPr>
      <t>/ n</t>
    </r>
  </si>
  <si>
    <r>
      <t xml:space="preserve"> 1 +Σ [</t>
    </r>
    <r>
      <rPr>
        <i/>
        <sz val="11"/>
        <rFont val="Arial"/>
        <family val="2"/>
      </rPr>
      <t>R</t>
    </r>
    <r>
      <rPr>
        <i/>
        <vertAlign val="subscript"/>
        <sz val="11"/>
        <rFont val="Arial"/>
        <family val="2"/>
      </rPr>
      <t>(t)</t>
    </r>
    <r>
      <rPr>
        <i/>
        <sz val="11"/>
        <rFont val="Arial"/>
        <family val="2"/>
      </rPr>
      <t xml:space="preserve"> -T</t>
    </r>
    <r>
      <rPr>
        <i/>
        <vertAlign val="subscript"/>
        <sz val="11"/>
        <rFont val="Arial"/>
        <family val="2"/>
      </rPr>
      <t>(t)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2 </t>
    </r>
    <r>
      <rPr>
        <sz val="11"/>
        <rFont val="Arial"/>
        <family val="2"/>
      </rPr>
      <t>/ n</t>
    </r>
  </si>
  <si>
    <r>
      <t>Requirements for f</t>
    </r>
    <r>
      <rPr>
        <b/>
        <vertAlign val="subscript"/>
        <sz val="11"/>
        <rFont val="Arial"/>
        <family val="2"/>
      </rPr>
      <t>1</t>
    </r>
    <r>
      <rPr>
        <b/>
        <sz val="11"/>
        <rFont val="Arial"/>
        <family val="2"/>
      </rPr>
      <t>f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</t>
    </r>
  </si>
  <si>
    <r>
      <t>f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= 50 * log       1 +Σ [R(t) -T(t)]2 / n</t>
    </r>
  </si>
  <si>
    <r>
      <t>f</t>
    </r>
    <r>
      <rPr>
        <b/>
        <vertAlign val="subscript"/>
        <sz val="11"/>
        <rFont val="Arial"/>
        <family val="2"/>
      </rPr>
      <t>2</t>
    </r>
  </si>
  <si>
    <r>
      <t>R(</t>
    </r>
    <r>
      <rPr>
        <b/>
        <i/>
        <vertAlign val="subscript"/>
        <sz val="11"/>
        <color indexed="8"/>
        <rFont val="Arial"/>
        <family val="2"/>
      </rPr>
      <t>t</t>
    </r>
    <r>
      <rPr>
        <b/>
        <i/>
        <sz val="11"/>
        <color indexed="8"/>
        <rFont val="Arial"/>
        <family val="2"/>
      </rPr>
      <t>)</t>
    </r>
  </si>
  <si>
    <r>
      <t>T(</t>
    </r>
    <r>
      <rPr>
        <b/>
        <i/>
        <vertAlign val="subscript"/>
        <sz val="11"/>
        <color indexed="8"/>
        <rFont val="Arial"/>
        <family val="2"/>
      </rPr>
      <t>t</t>
    </r>
    <r>
      <rPr>
        <b/>
        <i/>
        <sz val="11"/>
        <color indexed="8"/>
        <rFont val="Arial"/>
        <family val="2"/>
      </rPr>
      <t>)</t>
    </r>
  </si>
  <si>
    <t xml:space="preserve"> </t>
  </si>
  <si>
    <t>Mean</t>
  </si>
  <si>
    <t>Hr</t>
  </si>
  <si>
    <t>Date of Analysis</t>
  </si>
  <si>
    <t>Amphotericin B Liposome for Injection, 50 mg/vial</t>
  </si>
  <si>
    <t>Test Product</t>
  </si>
  <si>
    <t xml:space="preserve">Reference Product </t>
  </si>
  <si>
    <t>ES20E049</t>
  </si>
  <si>
    <t>026455D</t>
  </si>
  <si>
    <t>AmBisome® Liposomal Amphotericin B 50 mg powder for solution for infusion</t>
  </si>
  <si>
    <t>Phosphate Buffer pH 7.4 with 2% Sodium deoxycholate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</si>
</sst>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2" x14ac:knownFonts="1">
    <font>
      <sz val="10"/>
      <name val="Arial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</font>
    <font>
      <b/>
      <vertAlign val="subscript"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vertAlign val="subscript"/>
      <sz val="11"/>
      <name val="Arial"/>
      <family val="2"/>
    </font>
    <font>
      <b/>
      <i/>
      <vertAlign val="subscript"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b/>
      <i/>
      <sz val="11"/>
      <color theme="1"/>
      <name val="Arial"/>
      <family val="2"/>
    </font>
    <font>
      <b/>
      <i/>
      <vertAlign val="subscript"/>
      <sz val="11"/>
      <color indexed="8"/>
      <name val="Arial"/>
      <family val="2"/>
    </font>
    <font>
      <b/>
      <i/>
      <sz val="11"/>
      <color indexed="8"/>
      <name val="Arial"/>
      <family val="2"/>
    </font>
    <font>
      <b/>
      <sz val="20"/>
      <color rgb="FFFF0000"/>
      <name val="Arial"/>
      <family val="2"/>
    </font>
    <font>
      <b/>
      <sz val="2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2D1F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4" fillId="0" borderId="0" xfId="0" applyFont="1" applyBorder="1" applyAlignment="1" applyProtection="1">
      <alignment vertical="center"/>
    </xf>
    <xf numFmtId="0" fontId="4" fillId="0" borderId="0" xfId="0" applyFont="1" applyBorder="1" applyAlignment="1" applyProtection="1">
      <alignment vertical="center" wrapText="1"/>
    </xf>
    <xf numFmtId="0" fontId="5" fillId="0" borderId="0" xfId="0" applyFont="1" applyBorder="1" applyAlignment="1" applyProtection="1">
      <alignment vertical="center"/>
    </xf>
    <xf numFmtId="1" fontId="5" fillId="2" borderId="0" xfId="0" applyNumberFormat="1" applyFont="1" applyFill="1" applyBorder="1" applyAlignment="1" applyProtection="1">
      <alignment vertical="center"/>
    </xf>
    <xf numFmtId="0" fontId="4" fillId="0" borderId="1" xfId="0" applyFont="1" applyBorder="1" applyProtection="1"/>
    <xf numFmtId="0" fontId="4" fillId="0" borderId="2" xfId="0" applyFont="1" applyBorder="1" applyProtection="1"/>
    <xf numFmtId="0" fontId="4" fillId="0" borderId="3" xfId="0" applyFont="1" applyBorder="1" applyProtection="1"/>
    <xf numFmtId="0" fontId="4" fillId="0" borderId="4" xfId="0" applyFont="1" applyBorder="1" applyProtection="1"/>
    <xf numFmtId="0" fontId="4" fillId="0" borderId="5" xfId="0" applyFont="1" applyBorder="1" applyProtection="1"/>
    <xf numFmtId="0" fontId="4" fillId="0" borderId="0" xfId="0" applyFont="1" applyBorder="1" applyProtection="1"/>
    <xf numFmtId="0" fontId="3" fillId="2" borderId="16" xfId="0" applyFont="1" applyFill="1" applyBorder="1" applyAlignment="1" applyProtection="1">
      <alignment horizontal="center" vertical="center"/>
    </xf>
    <xf numFmtId="0" fontId="3" fillId="2" borderId="17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0" fontId="3" fillId="2" borderId="21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vertical="center"/>
    </xf>
    <xf numFmtId="0" fontId="9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5" fillId="2" borderId="27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5" fillId="2" borderId="28" xfId="0" applyFont="1" applyFill="1" applyBorder="1" applyAlignment="1" applyProtection="1">
      <alignment horizontal="center" vertical="center"/>
    </xf>
    <xf numFmtId="0" fontId="5" fillId="2" borderId="2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/>
    </xf>
    <xf numFmtId="1" fontId="5" fillId="2" borderId="9" xfId="0" applyNumberFormat="1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vertical="top"/>
    </xf>
    <xf numFmtId="0" fontId="4" fillId="0" borderId="13" xfId="0" applyFont="1" applyBorder="1" applyAlignment="1" applyProtection="1"/>
    <xf numFmtId="0" fontId="4" fillId="0" borderId="14" xfId="0" applyFont="1" applyBorder="1" applyAlignment="1" applyProtection="1"/>
    <xf numFmtId="0" fontId="4" fillId="0" borderId="15" xfId="0" applyFont="1" applyBorder="1" applyAlignment="1" applyProtection="1"/>
    <xf numFmtId="0" fontId="3" fillId="0" borderId="9" xfId="0" applyFont="1" applyBorder="1" applyAlignment="1" applyProtection="1">
      <alignment horizontal="center" vertical="center"/>
    </xf>
    <xf numFmtId="0" fontId="4" fillId="0" borderId="29" xfId="0" applyFont="1" applyBorder="1" applyAlignment="1" applyProtection="1"/>
    <xf numFmtId="0" fontId="4" fillId="0" borderId="25" xfId="0" applyFont="1" applyBorder="1" applyAlignment="1" applyProtection="1"/>
    <xf numFmtId="0" fontId="4" fillId="0" borderId="26" xfId="0" applyFont="1" applyBorder="1" applyAlignment="1" applyProtection="1"/>
    <xf numFmtId="0" fontId="16" fillId="0" borderId="9" xfId="0" applyFont="1" applyBorder="1" applyAlignment="1" applyProtection="1">
      <alignment horizontal="center" vertical="center"/>
    </xf>
    <xf numFmtId="0" fontId="4" fillId="0" borderId="7" xfId="0" applyFont="1" applyBorder="1" applyProtection="1"/>
    <xf numFmtId="0" fontId="4" fillId="0" borderId="8" xfId="0" applyFont="1" applyBorder="1" applyProtection="1"/>
    <xf numFmtId="0" fontId="3" fillId="2" borderId="10" xfId="0" applyFont="1" applyFill="1" applyBorder="1" applyAlignment="1" applyProtection="1">
      <alignment horizontal="center" vertical="center"/>
    </xf>
    <xf numFmtId="1" fontId="4" fillId="0" borderId="9" xfId="0" applyNumberFormat="1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0" xfId="0" applyFont="1" applyProtection="1"/>
    <xf numFmtId="1" fontId="5" fillId="0" borderId="17" xfId="0" applyNumberFormat="1" applyFont="1" applyFill="1" applyBorder="1" applyAlignment="1" applyProtection="1">
      <alignment horizontal="center" vertical="center"/>
    </xf>
    <xf numFmtId="164" fontId="4" fillId="0" borderId="9" xfId="0" applyNumberFormat="1" applyFont="1" applyFill="1" applyBorder="1" applyAlignment="1" applyProtection="1">
      <alignment horizontal="center" vertical="center"/>
    </xf>
    <xf numFmtId="164" fontId="5" fillId="0" borderId="9" xfId="0" applyNumberFormat="1" applyFont="1" applyFill="1" applyBorder="1" applyAlignment="1" applyProtection="1">
      <alignment horizontal="center" vertical="center"/>
    </xf>
    <xf numFmtId="1" fontId="5" fillId="0" borderId="9" xfId="0" applyNumberFormat="1" applyFont="1" applyFill="1" applyBorder="1" applyAlignment="1" applyProtection="1">
      <alignment horizontal="center" vertical="center"/>
    </xf>
    <xf numFmtId="1" fontId="5" fillId="0" borderId="22" xfId="0" applyNumberFormat="1" applyFont="1" applyFill="1" applyBorder="1" applyAlignment="1" applyProtection="1">
      <alignment horizontal="center" vertical="center"/>
    </xf>
    <xf numFmtId="0" fontId="4" fillId="0" borderId="6" xfId="0" applyFont="1" applyBorder="1" applyProtection="1"/>
    <xf numFmtId="0" fontId="3" fillId="2" borderId="31" xfId="0" applyFont="1" applyFill="1" applyBorder="1" applyAlignment="1" applyProtection="1">
      <alignment horizontal="center" vertical="center"/>
    </xf>
    <xf numFmtId="1" fontId="5" fillId="0" borderId="18" xfId="0" applyNumberFormat="1" applyFont="1" applyFill="1" applyBorder="1" applyAlignment="1" applyProtection="1">
      <alignment horizontal="center" vertical="center"/>
    </xf>
    <xf numFmtId="164" fontId="4" fillId="0" borderId="20" xfId="0" applyNumberFormat="1" applyFont="1" applyFill="1" applyBorder="1" applyAlignment="1" applyProtection="1">
      <alignment horizontal="center" vertical="center"/>
    </xf>
    <xf numFmtId="164" fontId="5" fillId="0" borderId="20" xfId="0" applyNumberFormat="1" applyFont="1" applyFill="1" applyBorder="1" applyAlignment="1" applyProtection="1">
      <alignment horizontal="center" vertical="center"/>
    </xf>
    <xf numFmtId="1" fontId="5" fillId="0" borderId="20" xfId="0" applyNumberFormat="1" applyFont="1" applyFill="1" applyBorder="1" applyAlignment="1" applyProtection="1">
      <alignment horizontal="center" vertical="center"/>
    </xf>
    <xf numFmtId="1" fontId="5" fillId="0" borderId="23" xfId="0" applyNumberFormat="1" applyFont="1" applyFill="1" applyBorder="1" applyAlignment="1" applyProtection="1">
      <alignment horizontal="center" vertical="center"/>
    </xf>
    <xf numFmtId="0" fontId="3" fillId="2" borderId="29" xfId="0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 applyProtection="1">
      <alignment horizontal="center" vertical="center"/>
    </xf>
    <xf numFmtId="0" fontId="3" fillId="2" borderId="32" xfId="0" applyFont="1" applyFill="1" applyBorder="1" applyAlignment="1" applyProtection="1">
      <alignment horizontal="center" vertical="center"/>
    </xf>
    <xf numFmtId="0" fontId="3" fillId="2" borderId="33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>
      <alignment horizontal="center" vertical="center" wrapText="1"/>
    </xf>
    <xf numFmtId="1" fontId="5" fillId="2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3" fillId="7" borderId="28" xfId="0" applyFont="1" applyFill="1" applyBorder="1" applyAlignment="1" applyProtection="1">
      <alignment horizontal="center" vertical="center"/>
      <protection locked="0"/>
    </xf>
    <xf numFmtId="0" fontId="3" fillId="7" borderId="34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Alignment="1" applyProtection="1">
      <alignment horizontal="center" vertical="center"/>
      <protection locked="0"/>
    </xf>
    <xf numFmtId="0" fontId="3" fillId="7" borderId="20" xfId="0" applyFont="1" applyFill="1" applyBorder="1" applyAlignment="1" applyProtection="1">
      <alignment horizontal="center" vertical="center"/>
      <protection locked="0"/>
    </xf>
    <xf numFmtId="0" fontId="3" fillId="7" borderId="22" xfId="0" applyFont="1" applyFill="1" applyBorder="1" applyAlignment="1" applyProtection="1">
      <alignment horizontal="center" vertical="center"/>
      <protection locked="0"/>
    </xf>
    <xf numFmtId="0" fontId="3" fillId="7" borderId="23" xfId="0" applyFont="1" applyFill="1" applyBorder="1" applyAlignment="1" applyProtection="1">
      <alignment horizontal="center" vertical="center"/>
      <protection locked="0"/>
    </xf>
    <xf numFmtId="0" fontId="3" fillId="7" borderId="36" xfId="0" applyFont="1" applyFill="1" applyBorder="1" applyAlignment="1" applyProtection="1">
      <alignment horizontal="center" vertical="center"/>
      <protection locked="0"/>
    </xf>
    <xf numFmtId="0" fontId="3" fillId="7" borderId="37" xfId="0" applyFont="1" applyFill="1" applyBorder="1" applyAlignment="1" applyProtection="1">
      <alignment horizontal="center" vertical="center"/>
      <protection locked="0"/>
    </xf>
    <xf numFmtId="0" fontId="3" fillId="7" borderId="35" xfId="0" applyFont="1" applyFill="1" applyBorder="1" applyAlignment="1" applyProtection="1">
      <alignment horizontal="center" vertical="center"/>
      <protection locked="0"/>
    </xf>
    <xf numFmtId="1" fontId="5" fillId="7" borderId="9" xfId="0" applyNumberFormat="1" applyFont="1" applyFill="1" applyBorder="1" applyAlignment="1" applyProtection="1">
      <alignment horizontal="center" vertical="center"/>
      <protection locked="0"/>
    </xf>
    <xf numFmtId="1" fontId="4" fillId="7" borderId="9" xfId="0" applyNumberFormat="1" applyFont="1" applyFill="1" applyBorder="1" applyAlignment="1" applyProtection="1">
      <alignment horizontal="center" vertical="center"/>
      <protection locked="0"/>
    </xf>
    <xf numFmtId="164" fontId="4" fillId="7" borderId="28" xfId="0" applyNumberFormat="1" applyFont="1" applyFill="1" applyBorder="1" applyAlignment="1" applyProtection="1">
      <alignment horizontal="center" vertical="center"/>
      <protection locked="0"/>
    </xf>
    <xf numFmtId="164" fontId="3" fillId="7" borderId="28" xfId="0" applyNumberFormat="1" applyFont="1" applyFill="1" applyBorder="1" applyAlignment="1" applyProtection="1">
      <alignment horizontal="center" vertical="center"/>
      <protection locked="0"/>
    </xf>
    <xf numFmtId="164" fontId="3" fillId="7" borderId="34" xfId="0" applyNumberFormat="1" applyFont="1" applyFill="1" applyBorder="1" applyAlignment="1" applyProtection="1">
      <alignment horizontal="center" vertical="center"/>
      <protection locked="0"/>
    </xf>
    <xf numFmtId="164" fontId="3" fillId="7" borderId="9" xfId="0" applyNumberFormat="1" applyFont="1" applyFill="1" applyBorder="1" applyAlignment="1" applyProtection="1">
      <alignment horizontal="center" vertical="center"/>
      <protection locked="0"/>
    </xf>
    <xf numFmtId="164" fontId="3" fillId="7" borderId="20" xfId="0" applyNumberFormat="1" applyFont="1" applyFill="1" applyBorder="1" applyAlignment="1" applyProtection="1">
      <alignment horizontal="center" vertical="center"/>
      <protection locked="0"/>
    </xf>
    <xf numFmtId="164" fontId="4" fillId="7" borderId="9" xfId="0" applyNumberFormat="1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164" fontId="4" fillId="7" borderId="27" xfId="0" applyNumberFormat="1" applyFont="1" applyFill="1" applyBorder="1" applyAlignment="1" applyProtection="1">
      <alignment horizontal="center" vertical="center"/>
      <protection locked="0"/>
    </xf>
    <xf numFmtId="164" fontId="3" fillId="7" borderId="27" xfId="0" applyNumberFormat="1" applyFont="1" applyFill="1" applyBorder="1" applyAlignment="1" applyProtection="1">
      <alignment horizontal="center" vertical="center"/>
      <protection locked="0"/>
    </xf>
    <xf numFmtId="164" fontId="3" fillId="7" borderId="47" xfId="0" applyNumberFormat="1" applyFont="1" applyFill="1" applyBorder="1" applyAlignment="1" applyProtection="1">
      <alignment horizontal="center" vertical="center"/>
      <protection locked="0"/>
    </xf>
    <xf numFmtId="0" fontId="21" fillId="2" borderId="11" xfId="0" applyFont="1" applyFill="1" applyBorder="1" applyAlignment="1" applyProtection="1">
      <alignment horizontal="center" vertical="center" wrapText="1"/>
    </xf>
    <xf numFmtId="0" fontId="21" fillId="2" borderId="9" xfId="0" applyFont="1" applyFill="1" applyBorder="1" applyAlignment="1" applyProtection="1">
      <alignment horizontal="center" vertical="center" wrapText="1"/>
    </xf>
    <xf numFmtId="164" fontId="5" fillId="7" borderId="9" xfId="0" applyNumberFormat="1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</xf>
    <xf numFmtId="1" fontId="5" fillId="0" borderId="28" xfId="0" applyNumberFormat="1" applyFont="1" applyFill="1" applyBorder="1" applyAlignment="1" applyProtection="1">
      <alignment horizontal="center" vertical="center"/>
    </xf>
    <xf numFmtId="0" fontId="3" fillId="2" borderId="28" xfId="0" applyFont="1" applyFill="1" applyBorder="1" applyAlignment="1" applyProtection="1">
      <alignment horizontal="center" vertical="center"/>
    </xf>
    <xf numFmtId="1" fontId="5" fillId="0" borderId="34" xfId="0" applyNumberFormat="1" applyFont="1" applyFill="1" applyBorder="1" applyAlignment="1" applyProtection="1">
      <alignment horizontal="center" vertical="center"/>
    </xf>
    <xf numFmtId="164" fontId="1" fillId="7" borderId="28" xfId="0" applyNumberFormat="1" applyFont="1" applyFill="1" applyBorder="1" applyAlignment="1" applyProtection="1">
      <alignment horizontal="center" vertical="center"/>
      <protection locked="0"/>
    </xf>
    <xf numFmtId="164" fontId="1" fillId="7" borderId="0" xfId="0" applyNumberFormat="1" applyFont="1" applyFill="1" applyBorder="1" applyAlignment="1" applyProtection="1">
      <alignment horizontal="center" vertical="center"/>
      <protection locked="0"/>
    </xf>
    <xf numFmtId="164" fontId="1" fillId="7" borderId="9" xfId="0" applyNumberFormat="1" applyFont="1" applyFill="1" applyBorder="1" applyAlignment="1" applyProtection="1">
      <alignment horizontal="center" vertical="center"/>
      <protection locked="0"/>
    </xf>
    <xf numFmtId="164" fontId="1" fillId="7" borderId="14" xfId="0" applyNumberFormat="1" applyFont="1" applyFill="1" applyBorder="1" applyAlignment="1" applyProtection="1">
      <alignment horizontal="center" vertical="center"/>
      <protection locked="0"/>
    </xf>
    <xf numFmtId="164" fontId="1" fillId="7" borderId="22" xfId="0" applyNumberFormat="1" applyFont="1" applyFill="1" applyBorder="1" applyAlignment="1" applyProtection="1">
      <alignment horizontal="center" vertical="center"/>
      <protection locked="0"/>
    </xf>
    <xf numFmtId="164" fontId="1" fillId="7" borderId="42" xfId="0" applyNumberFormat="1" applyFont="1" applyFill="1" applyBorder="1" applyAlignment="1" applyProtection="1">
      <alignment horizontal="center" vertical="center"/>
      <protection locked="0"/>
    </xf>
    <xf numFmtId="164" fontId="1" fillId="7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7" xfId="0" applyNumberFormat="1" applyFont="1" applyFill="1" applyBorder="1" applyAlignment="1" applyProtection="1">
      <alignment horizontal="center" vertical="center"/>
    </xf>
    <xf numFmtId="164" fontId="5" fillId="0" borderId="28" xfId="0" applyNumberFormat="1" applyFont="1" applyFill="1" applyBorder="1" applyAlignment="1" applyProtection="1">
      <alignment horizontal="center" vertical="center"/>
    </xf>
    <xf numFmtId="164" fontId="5" fillId="0" borderId="22" xfId="0" applyNumberFormat="1" applyFont="1" applyFill="1" applyBorder="1" applyAlignment="1" applyProtection="1">
      <alignment horizontal="center" vertical="center"/>
    </xf>
    <xf numFmtId="1" fontId="4" fillId="7" borderId="28" xfId="0" applyNumberFormat="1" applyFont="1" applyFill="1" applyBorder="1" applyAlignment="1" applyProtection="1">
      <alignment horizontal="center" vertical="center"/>
      <protection locked="0"/>
    </xf>
    <xf numFmtId="1" fontId="4" fillId="7" borderId="46" xfId="0" applyNumberFormat="1" applyFont="1" applyFill="1" applyBorder="1" applyAlignment="1" applyProtection="1">
      <alignment horizontal="center" vertical="center"/>
      <protection locked="0"/>
    </xf>
    <xf numFmtId="1" fontId="4" fillId="7" borderId="27" xfId="0" applyNumberFormat="1" applyFont="1" applyFill="1" applyBorder="1" applyAlignment="1" applyProtection="1">
      <alignment horizontal="center" vertical="center"/>
      <protection locked="0"/>
    </xf>
    <xf numFmtId="1" fontId="4" fillId="7" borderId="48" xfId="0" applyNumberFormat="1" applyFont="1" applyFill="1" applyBorder="1" applyAlignment="1" applyProtection="1">
      <alignment horizontal="center" vertical="center"/>
      <protection locked="0"/>
    </xf>
    <xf numFmtId="1" fontId="4" fillId="7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1" fontId="5" fillId="5" borderId="28" xfId="0" applyNumberFormat="1" applyFont="1" applyFill="1" applyBorder="1" applyAlignment="1" applyProtection="1">
      <alignment horizontal="center" vertical="center"/>
    </xf>
    <xf numFmtId="1" fontId="5" fillId="5" borderId="9" xfId="0" applyNumberFormat="1" applyFont="1" applyFill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left" vertical="top"/>
    </xf>
    <xf numFmtId="0" fontId="4" fillId="0" borderId="14" xfId="0" applyFont="1" applyBorder="1" applyAlignment="1" applyProtection="1">
      <alignment horizontal="center" vertical="center"/>
    </xf>
    <xf numFmtId="0" fontId="4" fillId="0" borderId="24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30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165" fontId="4" fillId="0" borderId="9" xfId="0" applyNumberFormat="1" applyFont="1" applyBorder="1" applyAlignment="1" applyProtection="1">
      <alignment horizontal="center" vertical="center"/>
    </xf>
    <xf numFmtId="165" fontId="4" fillId="0" borderId="27" xfId="0" applyNumberFormat="1" applyFont="1" applyBorder="1" applyAlignment="1" applyProtection="1">
      <alignment horizontal="center" vertical="center"/>
    </xf>
    <xf numFmtId="0" fontId="4" fillId="0" borderId="24" xfId="0" applyFont="1" applyBorder="1" applyAlignment="1" applyProtection="1">
      <alignment horizontal="center" vertical="top"/>
    </xf>
    <xf numFmtId="0" fontId="4" fillId="0" borderId="0" xfId="0" applyFont="1" applyBorder="1" applyAlignment="1" applyProtection="1">
      <alignment horizontal="center" vertical="top"/>
    </xf>
    <xf numFmtId="0" fontId="4" fillId="0" borderId="30" xfId="0" applyFont="1" applyBorder="1" applyAlignment="1" applyProtection="1">
      <alignment horizontal="center" vertical="top"/>
    </xf>
    <xf numFmtId="0" fontId="4" fillId="0" borderId="9" xfId="0" applyFont="1" applyBorder="1" applyAlignment="1" applyProtection="1">
      <alignment horizontal="center" vertical="center"/>
    </xf>
    <xf numFmtId="0" fontId="4" fillId="0" borderId="27" xfId="0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1" fontId="5" fillId="4" borderId="27" xfId="0" applyNumberFormat="1" applyFont="1" applyFill="1" applyBorder="1" applyAlignment="1" applyProtection="1">
      <alignment horizontal="center" vertical="center"/>
    </xf>
    <xf numFmtId="1" fontId="5" fillId="4" borderId="28" xfId="0" applyNumberFormat="1" applyFont="1" applyFill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1" fontId="4" fillId="0" borderId="9" xfId="0" applyNumberFormat="1" applyFont="1" applyBorder="1" applyAlignment="1" applyProtection="1">
      <alignment horizontal="center" vertical="center"/>
    </xf>
    <xf numFmtId="164" fontId="4" fillId="0" borderId="9" xfId="0" applyNumberFormat="1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top"/>
    </xf>
    <xf numFmtId="0" fontId="5" fillId="0" borderId="2" xfId="0" applyFont="1" applyBorder="1" applyAlignment="1" applyProtection="1">
      <alignment horizontal="center" vertical="top"/>
    </xf>
    <xf numFmtId="0" fontId="5" fillId="0" borderId="3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center" vertical="top"/>
    </xf>
    <xf numFmtId="0" fontId="5" fillId="0" borderId="0" xfId="0" applyFont="1" applyBorder="1" applyAlignment="1" applyProtection="1">
      <alignment horizontal="center" vertical="top"/>
    </xf>
    <xf numFmtId="0" fontId="5" fillId="0" borderId="5" xfId="0" applyFont="1" applyBorder="1" applyAlignment="1" applyProtection="1">
      <alignment horizontal="center" vertical="top"/>
    </xf>
    <xf numFmtId="0" fontId="5" fillId="0" borderId="6" xfId="0" applyFont="1" applyBorder="1" applyAlignment="1" applyProtection="1">
      <alignment horizontal="center" vertical="top"/>
    </xf>
    <xf numFmtId="0" fontId="5" fillId="0" borderId="7" xfId="0" applyFont="1" applyBorder="1" applyAlignment="1" applyProtection="1">
      <alignment horizontal="center" vertical="top"/>
    </xf>
    <xf numFmtId="0" fontId="5" fillId="0" borderId="8" xfId="0" applyFont="1" applyBorder="1" applyAlignment="1" applyProtection="1">
      <alignment horizontal="center" vertical="top"/>
    </xf>
    <xf numFmtId="0" fontId="5" fillId="0" borderId="13" xfId="0" applyFont="1" applyBorder="1" applyAlignment="1" applyProtection="1">
      <alignment horizontal="center" vertical="center"/>
    </xf>
    <xf numFmtId="0" fontId="5" fillId="0" borderId="14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0" fontId="5" fillId="0" borderId="24" xfId="0" applyFont="1" applyBorder="1" applyAlignment="1" applyProtection="1">
      <alignment horizontal="center" vertical="center"/>
    </xf>
    <xf numFmtId="0" fontId="5" fillId="0" borderId="25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</xf>
    <xf numFmtId="0" fontId="4" fillId="0" borderId="29" xfId="0" applyFont="1" applyBorder="1" applyAlignment="1" applyProtection="1">
      <alignment horizontal="center" vertical="top"/>
    </xf>
    <xf numFmtId="0" fontId="4" fillId="0" borderId="25" xfId="0" applyFont="1" applyBorder="1" applyAlignment="1" applyProtection="1">
      <alignment horizontal="center" vertical="top"/>
    </xf>
    <xf numFmtId="0" fontId="4" fillId="0" borderId="26" xfId="0" applyFont="1" applyBorder="1" applyAlignment="1" applyProtection="1">
      <alignment horizontal="center" vertical="top"/>
    </xf>
    <xf numFmtId="0" fontId="3" fillId="7" borderId="10" xfId="0" applyFont="1" applyFill="1" applyBorder="1" applyAlignment="1" applyProtection="1">
      <alignment horizontal="left" vertical="center"/>
      <protection locked="0"/>
    </xf>
    <xf numFmtId="0" fontId="3" fillId="7" borderId="12" xfId="0" applyFont="1" applyFill="1" applyBorder="1" applyAlignment="1" applyProtection="1">
      <alignment horizontal="left" vertical="center"/>
      <protection locked="0"/>
    </xf>
    <xf numFmtId="0" fontId="3" fillId="7" borderId="11" xfId="0" applyFont="1" applyFill="1" applyBorder="1" applyAlignment="1" applyProtection="1">
      <alignment horizontal="left" vertical="center"/>
      <protection locked="0"/>
    </xf>
    <xf numFmtId="0" fontId="3" fillId="2" borderId="10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3" fillId="7" borderId="10" xfId="0" applyFont="1" applyFill="1" applyBorder="1" applyAlignment="1" applyProtection="1">
      <alignment horizontal="center" vertical="center"/>
      <protection locked="0"/>
    </xf>
    <xf numFmtId="0" fontId="3" fillId="7" borderId="40" xfId="0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right" vertical="center"/>
    </xf>
    <xf numFmtId="0" fontId="3" fillId="2" borderId="42" xfId="0" applyFont="1" applyFill="1" applyBorder="1" applyAlignment="1" applyProtection="1">
      <alignment horizontal="right" vertical="center"/>
    </xf>
    <xf numFmtId="0" fontId="3" fillId="7" borderId="42" xfId="0" applyFont="1" applyFill="1" applyBorder="1" applyAlignment="1" applyProtection="1">
      <alignment horizontal="left" vertical="center"/>
      <protection locked="0"/>
    </xf>
    <xf numFmtId="0" fontId="3" fillId="7" borderId="43" xfId="0" applyFont="1" applyFill="1" applyBorder="1" applyAlignment="1" applyProtection="1">
      <alignment horizontal="left" vertical="center"/>
      <protection locked="0"/>
    </xf>
    <xf numFmtId="0" fontId="3" fillId="2" borderId="14" xfId="0" applyFont="1" applyFill="1" applyBorder="1" applyAlignment="1" applyProtection="1">
      <alignment horizontal="right" vertical="center"/>
    </xf>
    <xf numFmtId="0" fontId="3" fillId="2" borderId="14" xfId="0" applyFont="1" applyFill="1" applyBorder="1" applyAlignment="1" applyProtection="1">
      <alignment horizontal="left" vertical="center"/>
    </xf>
    <xf numFmtId="0" fontId="3" fillId="2" borderId="44" xfId="0" applyFont="1" applyFill="1" applyBorder="1" applyAlignment="1" applyProtection="1">
      <alignment horizontal="left" vertical="center"/>
    </xf>
    <xf numFmtId="0" fontId="3" fillId="2" borderId="39" xfId="0" applyFont="1" applyFill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/>
    </xf>
    <xf numFmtId="0" fontId="3" fillId="7" borderId="40" xfId="0" applyFont="1" applyFill="1" applyBorder="1" applyAlignment="1" applyProtection="1">
      <alignment horizontal="left" vertical="center"/>
      <protection locked="0"/>
    </xf>
    <xf numFmtId="0" fontId="3" fillId="7" borderId="10" xfId="0" quotePrefix="1" applyFont="1" applyFill="1" applyBorder="1" applyAlignment="1" applyProtection="1">
      <alignment horizontal="left" vertical="center"/>
      <protection locked="0"/>
    </xf>
    <xf numFmtId="14" fontId="3" fillId="7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11" xfId="0" applyFont="1" applyFill="1" applyBorder="1" applyAlignment="1" applyProtection="1">
      <alignment horizontal="left" vertical="center"/>
    </xf>
    <xf numFmtId="0" fontId="19" fillId="0" borderId="1" xfId="0" applyFont="1" applyBorder="1" applyAlignment="1" applyProtection="1">
      <alignment horizontal="center" vertical="center"/>
    </xf>
    <xf numFmtId="0" fontId="19" fillId="0" borderId="2" xfId="0" applyFont="1" applyBorder="1" applyAlignment="1" applyProtection="1">
      <alignment horizontal="center" vertical="center"/>
    </xf>
    <xf numFmtId="0" fontId="19" fillId="0" borderId="3" xfId="0" applyFont="1" applyBorder="1" applyAlignment="1" applyProtection="1">
      <alignment horizontal="center" vertical="center"/>
    </xf>
    <xf numFmtId="0" fontId="20" fillId="0" borderId="4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5" xfId="0" applyFont="1" applyBorder="1" applyAlignment="1" applyProtection="1">
      <alignment horizontal="center" vertical="center"/>
    </xf>
    <xf numFmtId="0" fontId="20" fillId="0" borderId="6" xfId="0" applyFont="1" applyBorder="1" applyAlignment="1" applyProtection="1">
      <alignment horizontal="center" vertical="center"/>
    </xf>
    <xf numFmtId="0" fontId="20" fillId="0" borderId="7" xfId="0" applyFont="1" applyBorder="1" applyAlignment="1" applyProtection="1">
      <alignment horizontal="center" vertical="center"/>
    </xf>
    <xf numFmtId="0" fontId="20" fillId="0" borderId="8" xfId="0" applyFont="1" applyBorder="1" applyAlignment="1" applyProtection="1">
      <alignment horizontal="center" vertical="center"/>
    </xf>
    <xf numFmtId="0" fontId="3" fillId="6" borderId="16" xfId="0" applyFont="1" applyFill="1" applyBorder="1" applyAlignment="1" applyProtection="1">
      <alignment horizontal="center" vertical="center"/>
      <protection locked="0"/>
    </xf>
    <xf numFmtId="0" fontId="3" fillId="6" borderId="17" xfId="0" applyFont="1" applyFill="1" applyBorder="1" applyAlignment="1" applyProtection="1">
      <alignment horizontal="center" vertical="center"/>
      <protection locked="0"/>
    </xf>
    <xf numFmtId="0" fontId="3" fillId="6" borderId="18" xfId="0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Alignment="1" applyProtection="1">
      <alignment horizontal="center" vertical="center"/>
      <protection locked="0"/>
    </xf>
    <xf numFmtId="0" fontId="3" fillId="7" borderId="17" xfId="0" applyFont="1" applyFill="1" applyBorder="1" applyAlignment="1" applyProtection="1">
      <alignment horizontal="center" vertical="center"/>
      <protection locked="0"/>
    </xf>
    <xf numFmtId="0" fontId="3" fillId="7" borderId="1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D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 sz="1100" b="1" i="0" baseline="0">
                <a:effectLst/>
              </a:rPr>
              <a:t>Comparative In vitro release (IVR) study of Amphotericin B Liposome for Injection, 50mg/vial (Test Product) Batch Number: ES20E049 with AmBisome</a:t>
            </a:r>
            <a:r>
              <a:rPr lang="en-US" sz="1100" b="1" i="0" baseline="30000">
                <a:effectLst/>
              </a:rPr>
              <a:t>®</a:t>
            </a:r>
            <a:r>
              <a:rPr lang="en-US" sz="1100" b="1" i="0" baseline="0">
                <a:effectLst/>
              </a:rPr>
              <a:t> Liposomal Amphotericin B 50 mg powder for solution for infusion (Reference Product) Lot: 026455D</a:t>
            </a:r>
            <a:endParaRPr lang="en-US" sz="1100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3122373628166943E-2"/>
          <c:y val="0.16540966163013407"/>
          <c:w val="0.86396679042062752"/>
          <c:h val="0.6260827756890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f1f2!$D$8</c:f>
              <c:strCache>
                <c:ptCount val="1"/>
                <c:pt idx="0">
                  <c:v>ES20E049</c:v>
                </c:pt>
              </c:strCache>
            </c:strRef>
          </c:tx>
          <c:spPr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f1f2!$C$12:$S$12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xVal>
          <c:yVal>
            <c:numRef>
              <c:f>f1f2!$C$25:$S$25</c:f>
              <c:numCache>
                <c:formatCode>0</c:formatCode>
                <c:ptCount val="17"/>
                <c:pt idx="0" formatCode="General">
                  <c:v>0</c:v>
                </c:pt>
                <c:pt idx="1">
                  <c:v>7.1</c:v>
                </c:pt>
                <c:pt idx="2">
                  <c:v>21</c:v>
                </c:pt>
                <c:pt idx="3">
                  <c:v>38.5</c:v>
                </c:pt>
                <c:pt idx="4">
                  <c:v>55.9</c:v>
                </c:pt>
                <c:pt idx="5">
                  <c:v>83.8</c:v>
                </c:pt>
                <c:pt idx="6">
                  <c:v>100.7</c:v>
                </c:pt>
                <c:pt idx="7">
                  <c:v>110.9</c:v>
                </c:pt>
                <c:pt idx="8">
                  <c:v>115.6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E-4EE6-B58E-D947CD526C02}"/>
            </c:ext>
          </c:extLst>
        </c:ser>
        <c:ser>
          <c:idx val="1"/>
          <c:order val="1"/>
          <c:tx>
            <c:strRef>
              <c:f>f1f2!$W$8</c:f>
              <c:strCache>
                <c:ptCount val="1"/>
                <c:pt idx="0">
                  <c:v>026455D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f1f2!$C$12:$S$12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xVal>
          <c:yVal>
            <c:numRef>
              <c:f>f1f2!$V$25:$AL$25</c:f>
              <c:numCache>
                <c:formatCode>0</c:formatCode>
                <c:ptCount val="17"/>
                <c:pt idx="0" formatCode="General">
                  <c:v>0</c:v>
                </c:pt>
                <c:pt idx="1">
                  <c:v>8.5</c:v>
                </c:pt>
                <c:pt idx="2">
                  <c:v>23</c:v>
                </c:pt>
                <c:pt idx="3">
                  <c:v>41.2</c:v>
                </c:pt>
                <c:pt idx="4">
                  <c:v>58.2</c:v>
                </c:pt>
                <c:pt idx="5">
                  <c:v>88.7</c:v>
                </c:pt>
                <c:pt idx="6">
                  <c:v>104.1</c:v>
                </c:pt>
                <c:pt idx="7">
                  <c:v>111.2</c:v>
                </c:pt>
                <c:pt idx="8">
                  <c:v>114.9</c:v>
                </c:pt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BE-4EE6-B58E-D947CD526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81408"/>
        <c:axId val="285181800"/>
      </c:scatterChart>
      <c:valAx>
        <c:axId val="285181408"/>
        <c:scaling>
          <c:orientation val="minMax"/>
          <c:max val="12"/>
          <c:min val="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12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 sz="1200">
                    <a:latin typeface="Arial" panose="020B0604020202020204" pitchFamily="34" charset="0"/>
                    <a:cs typeface="Arial" panose="020B0604020202020204" pitchFamily="34" charset="0"/>
                  </a:rPr>
                  <a:t>Time in Hrs</a:t>
                </a:r>
              </a:p>
            </c:rich>
          </c:tx>
          <c:layout>
            <c:manualLayout>
              <c:xMode val="edge"/>
              <c:yMode val="edge"/>
              <c:x val="0.35919837514767416"/>
              <c:y val="0.9034200986656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n-US"/>
          </a:p>
        </c:txPr>
        <c:crossAx val="285181800"/>
        <c:crosses val="autoZero"/>
        <c:crossBetween val="midCat"/>
        <c:majorUnit val="3"/>
      </c:valAx>
      <c:valAx>
        <c:axId val="285181800"/>
        <c:scaling>
          <c:orientation val="minMax"/>
          <c:max val="1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IN" sz="1200">
                    <a:latin typeface="Arial" panose="020B0604020202020204" pitchFamily="34" charset="0"/>
                    <a:cs typeface="Arial" panose="020B0604020202020204" pitchFamily="34" charset="0"/>
                  </a:rPr>
                  <a:t>% Release</a:t>
                </a:r>
              </a:p>
            </c:rich>
          </c:tx>
          <c:layout>
            <c:manualLayout>
              <c:xMode val="edge"/>
              <c:yMode val="edge"/>
              <c:x val="9.6448417527059925E-3"/>
              <c:y val="0.39847253721671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285181408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57457636864128125"/>
          <c:y val="0.90422074727570045"/>
          <c:w val="0.37974819444686925"/>
          <c:h val="5.579057591623037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sz="30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316886</xdr:colOff>
      <xdr:row>30</xdr:row>
      <xdr:rowOff>156882</xdr:rowOff>
    </xdr:from>
    <xdr:to>
      <xdr:col>15</xdr:col>
      <xdr:colOff>313765</xdr:colOff>
      <xdr:row>44</xdr:row>
      <xdr:rowOff>22412</xdr:rowOff>
    </xdr:to>
    <xdr:graphicFrame macro="">
      <xdr:nvGraphicFramePr>
        <xdr:cNvPr id="2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226919</xdr:colOff>
      <xdr:row>40</xdr:row>
      <xdr:rowOff>249331</xdr:rowOff>
    </xdr:from>
    <xdr:to>
      <xdr:col>32</xdr:col>
      <xdr:colOff>249432</xdr:colOff>
      <xdr:row>40</xdr:row>
      <xdr:rowOff>249331</xdr:rowOff>
    </xdr:to>
    <xdr:cxnSp macro="">
      <xdr:nvCxnSpPr>
        <xdr:cNvPr id="7" name="Straight Connector 6"/>
        <xdr:cNvCxnSpPr/>
      </xdr:nvCxnSpPr>
      <xdr:spPr>
        <a:xfrm>
          <a:off x="18457769" y="12822331"/>
          <a:ext cx="118456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505877</xdr:colOff>
      <xdr:row>44</xdr:row>
      <xdr:rowOff>4553</xdr:rowOff>
    </xdr:from>
    <xdr:to>
      <xdr:col>32</xdr:col>
      <xdr:colOff>506015</xdr:colOff>
      <xdr:row>44</xdr:row>
      <xdr:rowOff>11906</xdr:rowOff>
    </xdr:to>
    <xdr:cxnSp macro="">
      <xdr:nvCxnSpPr>
        <xdr:cNvPr id="11" name="Straight Connector 10"/>
        <xdr:cNvCxnSpPr/>
      </xdr:nvCxnSpPr>
      <xdr:spPr>
        <a:xfrm>
          <a:off x="18793877" y="13887241"/>
          <a:ext cx="1166951" cy="73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507558</xdr:colOff>
      <xdr:row>44</xdr:row>
      <xdr:rowOff>4553</xdr:rowOff>
    </xdr:from>
    <xdr:to>
      <xdr:col>30</xdr:col>
      <xdr:colOff>507558</xdr:colOff>
      <xdr:row>44</xdr:row>
      <xdr:rowOff>294225</xdr:rowOff>
    </xdr:to>
    <xdr:cxnSp macro="">
      <xdr:nvCxnSpPr>
        <xdr:cNvPr id="12" name="Straight Connector 11"/>
        <xdr:cNvCxnSpPr/>
      </xdr:nvCxnSpPr>
      <xdr:spPr>
        <a:xfrm>
          <a:off x="18795558" y="13887241"/>
          <a:ext cx="0" cy="2896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446486</xdr:colOff>
      <xdr:row>44</xdr:row>
      <xdr:rowOff>202406</xdr:rowOff>
    </xdr:from>
    <xdr:to>
      <xdr:col>30</xdr:col>
      <xdr:colOff>508118</xdr:colOff>
      <xdr:row>44</xdr:row>
      <xdr:rowOff>294785</xdr:rowOff>
    </xdr:to>
    <xdr:cxnSp macro="">
      <xdr:nvCxnSpPr>
        <xdr:cNvPr id="14" name="Straight Connector 13"/>
        <xdr:cNvCxnSpPr/>
      </xdr:nvCxnSpPr>
      <xdr:spPr>
        <a:xfrm>
          <a:off x="18734486" y="14085094"/>
          <a:ext cx="61632" cy="9237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516663</xdr:colOff>
      <xdr:row>43</xdr:row>
      <xdr:rowOff>273776</xdr:rowOff>
    </xdr:from>
    <xdr:to>
      <xdr:col>32</xdr:col>
      <xdr:colOff>476249</xdr:colOff>
      <xdr:row>43</xdr:row>
      <xdr:rowOff>279797</xdr:rowOff>
    </xdr:to>
    <xdr:cxnSp macro="">
      <xdr:nvCxnSpPr>
        <xdr:cNvPr id="15" name="Straight Connector 14"/>
        <xdr:cNvCxnSpPr/>
      </xdr:nvCxnSpPr>
      <xdr:spPr>
        <a:xfrm>
          <a:off x="18804663" y="13840948"/>
          <a:ext cx="1126399" cy="602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291353</xdr:colOff>
      <xdr:row>47</xdr:row>
      <xdr:rowOff>0</xdr:rowOff>
    </xdr:from>
    <xdr:to>
      <xdr:col>34</xdr:col>
      <xdr:colOff>276225</xdr:colOff>
      <xdr:row>47</xdr:row>
      <xdr:rowOff>4482</xdr:rowOff>
    </xdr:to>
    <xdr:cxnSp macro="">
      <xdr:nvCxnSpPr>
        <xdr:cNvPr id="18" name="Straight Connector 17"/>
        <xdr:cNvCxnSpPr/>
      </xdr:nvCxnSpPr>
      <xdr:spPr>
        <a:xfrm flipV="1">
          <a:off x="19684253" y="14773275"/>
          <a:ext cx="1146922" cy="448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73959</xdr:colOff>
      <xdr:row>46</xdr:row>
      <xdr:rowOff>224118</xdr:rowOff>
    </xdr:from>
    <xdr:to>
      <xdr:col>34</xdr:col>
      <xdr:colOff>438150</xdr:colOff>
      <xdr:row>48</xdr:row>
      <xdr:rowOff>40341</xdr:rowOff>
    </xdr:to>
    <xdr:sp macro="" textlink="">
      <xdr:nvSpPr>
        <xdr:cNvPr id="23" name="Double Bracket 22"/>
        <xdr:cNvSpPr/>
      </xdr:nvSpPr>
      <xdr:spPr>
        <a:xfrm>
          <a:off x="19466859" y="14683068"/>
          <a:ext cx="1745316" cy="444873"/>
        </a:xfrm>
        <a:prstGeom prst="bracketPair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twoCellAnchor>
    <xdr:from>
      <xdr:col>30</xdr:col>
      <xdr:colOff>355997</xdr:colOff>
      <xdr:row>43</xdr:row>
      <xdr:rowOff>125015</xdr:rowOff>
    </xdr:from>
    <xdr:to>
      <xdr:col>30</xdr:col>
      <xdr:colOff>498872</xdr:colOff>
      <xdr:row>44</xdr:row>
      <xdr:rowOff>303609</xdr:rowOff>
    </xdr:to>
    <xdr:sp macro="" textlink="">
      <xdr:nvSpPr>
        <xdr:cNvPr id="31" name="Left Brace 30"/>
        <xdr:cNvSpPr/>
      </xdr:nvSpPr>
      <xdr:spPr>
        <a:xfrm>
          <a:off x="18586847" y="13640990"/>
          <a:ext cx="142875" cy="492919"/>
        </a:xfrm>
        <a:prstGeom prst="leftBrac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621507</xdr:colOff>
      <xdr:row>43</xdr:row>
      <xdr:rowOff>100011</xdr:rowOff>
    </xdr:from>
    <xdr:to>
      <xdr:col>32</xdr:col>
      <xdr:colOff>742950</xdr:colOff>
      <xdr:row>44</xdr:row>
      <xdr:rowOff>285750</xdr:rowOff>
    </xdr:to>
    <xdr:sp macro="" textlink="">
      <xdr:nvSpPr>
        <xdr:cNvPr id="32" name="Right Brace 31"/>
        <xdr:cNvSpPr/>
      </xdr:nvSpPr>
      <xdr:spPr>
        <a:xfrm>
          <a:off x="20014407" y="13615986"/>
          <a:ext cx="121443" cy="500064"/>
        </a:xfrm>
        <a:prstGeom prst="rightBrace">
          <a:avLst>
            <a:gd name="adj1" fmla="val 8333"/>
            <a:gd name="adj2" fmla="val 46732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392766</xdr:colOff>
      <xdr:row>40</xdr:row>
      <xdr:rowOff>285750</xdr:rowOff>
    </xdr:from>
    <xdr:to>
      <xdr:col>32</xdr:col>
      <xdr:colOff>628650</xdr:colOff>
      <xdr:row>40</xdr:row>
      <xdr:rowOff>285750</xdr:rowOff>
    </xdr:to>
    <xdr:cxnSp macro="">
      <xdr:nvCxnSpPr>
        <xdr:cNvPr id="28" name="Straight Connector 27"/>
        <xdr:cNvCxnSpPr/>
      </xdr:nvCxnSpPr>
      <xdr:spPr>
        <a:xfrm>
          <a:off x="18623616" y="12858750"/>
          <a:ext cx="1397934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394447</xdr:colOff>
      <xdr:row>40</xdr:row>
      <xdr:rowOff>285750</xdr:rowOff>
    </xdr:from>
    <xdr:to>
      <xdr:col>30</xdr:col>
      <xdr:colOff>394447</xdr:colOff>
      <xdr:row>41</xdr:row>
      <xdr:rowOff>261097</xdr:rowOff>
    </xdr:to>
    <xdr:cxnSp macro="">
      <xdr:nvCxnSpPr>
        <xdr:cNvPr id="29" name="Straight Connector 28"/>
        <xdr:cNvCxnSpPr/>
      </xdr:nvCxnSpPr>
      <xdr:spPr>
        <a:xfrm>
          <a:off x="18625297" y="12858750"/>
          <a:ext cx="0" cy="2896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333375</xdr:colOff>
      <xdr:row>41</xdr:row>
      <xdr:rowOff>169278</xdr:rowOff>
    </xdr:from>
    <xdr:to>
      <xdr:col>30</xdr:col>
      <xdr:colOff>395007</xdr:colOff>
      <xdr:row>41</xdr:row>
      <xdr:rowOff>261657</xdr:rowOff>
    </xdr:to>
    <xdr:cxnSp macro="">
      <xdr:nvCxnSpPr>
        <xdr:cNvPr id="30" name="Straight Connector 29"/>
        <xdr:cNvCxnSpPr/>
      </xdr:nvCxnSpPr>
      <xdr:spPr>
        <a:xfrm>
          <a:off x="18564225" y="13056603"/>
          <a:ext cx="61632" cy="9237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368587</xdr:colOff>
      <xdr:row>38</xdr:row>
      <xdr:rowOff>28575</xdr:rowOff>
    </xdr:from>
    <xdr:to>
      <xdr:col>32</xdr:col>
      <xdr:colOff>561975</xdr:colOff>
      <xdr:row>38</xdr:row>
      <xdr:rowOff>31506</xdr:rowOff>
    </xdr:to>
    <xdr:cxnSp macro="">
      <xdr:nvCxnSpPr>
        <xdr:cNvPr id="36" name="Straight Connector 35"/>
        <xdr:cNvCxnSpPr/>
      </xdr:nvCxnSpPr>
      <xdr:spPr>
        <a:xfrm flipV="1">
          <a:off x="18599437" y="11972925"/>
          <a:ext cx="1355438" cy="293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370268</xdr:colOff>
      <xdr:row>38</xdr:row>
      <xdr:rowOff>31506</xdr:rowOff>
    </xdr:from>
    <xdr:to>
      <xdr:col>30</xdr:col>
      <xdr:colOff>370268</xdr:colOff>
      <xdr:row>39</xdr:row>
      <xdr:rowOff>6853</xdr:rowOff>
    </xdr:to>
    <xdr:cxnSp macro="">
      <xdr:nvCxnSpPr>
        <xdr:cNvPr id="37" name="Straight Connector 36"/>
        <xdr:cNvCxnSpPr/>
      </xdr:nvCxnSpPr>
      <xdr:spPr>
        <a:xfrm>
          <a:off x="18601118" y="11975856"/>
          <a:ext cx="0" cy="2896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309196</xdr:colOff>
      <xdr:row>38</xdr:row>
      <xdr:rowOff>229359</xdr:rowOff>
    </xdr:from>
    <xdr:to>
      <xdr:col>30</xdr:col>
      <xdr:colOff>370828</xdr:colOff>
      <xdr:row>39</xdr:row>
      <xdr:rowOff>7413</xdr:rowOff>
    </xdr:to>
    <xdr:cxnSp macro="">
      <xdr:nvCxnSpPr>
        <xdr:cNvPr id="38" name="Straight Connector 37"/>
        <xdr:cNvCxnSpPr/>
      </xdr:nvCxnSpPr>
      <xdr:spPr>
        <a:xfrm>
          <a:off x="18540046" y="12173709"/>
          <a:ext cx="61632" cy="9237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240366</xdr:colOff>
      <xdr:row>47</xdr:row>
      <xdr:rowOff>38100</xdr:rowOff>
    </xdr:from>
    <xdr:to>
      <xdr:col>34</xdr:col>
      <xdr:colOff>257175</xdr:colOff>
      <xdr:row>47</xdr:row>
      <xdr:rowOff>38100</xdr:rowOff>
    </xdr:to>
    <xdr:cxnSp macro="">
      <xdr:nvCxnSpPr>
        <xdr:cNvPr id="41" name="Straight Connector 40"/>
        <xdr:cNvCxnSpPr/>
      </xdr:nvCxnSpPr>
      <xdr:spPr>
        <a:xfrm>
          <a:off x="19633266" y="14811375"/>
          <a:ext cx="1397934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242047</xdr:colOff>
      <xdr:row>47</xdr:row>
      <xdr:rowOff>38100</xdr:rowOff>
    </xdr:from>
    <xdr:to>
      <xdr:col>32</xdr:col>
      <xdr:colOff>242047</xdr:colOff>
      <xdr:row>48</xdr:row>
      <xdr:rowOff>13447</xdr:rowOff>
    </xdr:to>
    <xdr:cxnSp macro="">
      <xdr:nvCxnSpPr>
        <xdr:cNvPr id="42" name="Straight Connector 41"/>
        <xdr:cNvCxnSpPr/>
      </xdr:nvCxnSpPr>
      <xdr:spPr>
        <a:xfrm>
          <a:off x="19634947" y="14811375"/>
          <a:ext cx="0" cy="2896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180975</xdr:colOff>
      <xdr:row>47</xdr:row>
      <xdr:rowOff>235953</xdr:rowOff>
    </xdr:from>
    <xdr:to>
      <xdr:col>32</xdr:col>
      <xdr:colOff>242607</xdr:colOff>
      <xdr:row>48</xdr:row>
      <xdr:rowOff>14007</xdr:rowOff>
    </xdr:to>
    <xdr:cxnSp macro="">
      <xdr:nvCxnSpPr>
        <xdr:cNvPr id="43" name="Straight Connector 42"/>
        <xdr:cNvCxnSpPr/>
      </xdr:nvCxnSpPr>
      <xdr:spPr>
        <a:xfrm>
          <a:off x="19573875" y="15009228"/>
          <a:ext cx="61632" cy="9237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58"/>
  <sheetViews>
    <sheetView tabSelected="1" topLeftCell="C1" zoomScale="70" zoomScaleNormal="70" zoomScaleSheetLayoutView="55" workbookViewId="0">
      <selection activeCell="W28" sqref="W28:AD29"/>
    </sheetView>
  </sheetViews>
  <sheetFormatPr defaultRowHeight="24.95" customHeight="1" x14ac:dyDescent="0.2"/>
  <cols>
    <col min="1" max="18" width="8.7109375" style="47" customWidth="1"/>
    <col min="19" max="22" width="10.7109375" style="47" customWidth="1"/>
    <col min="23" max="24" width="8.7109375" style="47" customWidth="1"/>
    <col min="25" max="26" width="10.7109375" style="47" customWidth="1"/>
    <col min="27" max="32" width="8.7109375" style="47" customWidth="1"/>
    <col min="33" max="33" width="12" style="47" customWidth="1"/>
    <col min="34" max="256" width="8.7109375" style="47" customWidth="1"/>
    <col min="257" max="16384" width="9.140625" style="47"/>
  </cols>
  <sheetData>
    <row r="1" spans="1:39" ht="24.95" customHeight="1" thickBo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24.95" customHeight="1" x14ac:dyDescent="0.2">
      <c r="A2" s="8"/>
      <c r="B2" s="185" t="s">
        <v>0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7"/>
      <c r="AM2" s="9"/>
    </row>
    <row r="3" spans="1:39" ht="24.95" customHeight="1" x14ac:dyDescent="0.2">
      <c r="A3" s="8"/>
      <c r="B3" s="188" t="s">
        <v>1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90"/>
      <c r="AM3" s="9"/>
    </row>
    <row r="4" spans="1:39" ht="24.95" customHeight="1" thickBot="1" x14ac:dyDescent="0.25">
      <c r="A4" s="8"/>
      <c r="B4" s="191" t="s">
        <v>2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3"/>
      <c r="AM4" s="9"/>
    </row>
    <row r="5" spans="1:39" ht="24.95" customHeight="1" thickBot="1" x14ac:dyDescent="0.25">
      <c r="A5" s="8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9"/>
    </row>
    <row r="6" spans="1:39" ht="24.95" customHeight="1" x14ac:dyDescent="0.2">
      <c r="A6" s="8"/>
      <c r="B6" s="194" t="s">
        <v>52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6"/>
      <c r="T6" s="10"/>
      <c r="U6" s="197" t="s">
        <v>53</v>
      </c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9"/>
      <c r="AM6" s="9"/>
    </row>
    <row r="7" spans="1:39" ht="24.95" customHeight="1" x14ac:dyDescent="0.2">
      <c r="A7" s="8"/>
      <c r="B7" s="179" t="s">
        <v>3</v>
      </c>
      <c r="C7" s="184"/>
      <c r="D7" s="165" t="s">
        <v>51</v>
      </c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81"/>
      <c r="T7" s="10"/>
      <c r="U7" s="179" t="s">
        <v>3</v>
      </c>
      <c r="V7" s="184"/>
      <c r="W7" s="165" t="s">
        <v>56</v>
      </c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81"/>
      <c r="AM7" s="9"/>
    </row>
    <row r="8" spans="1:39" ht="24.95" customHeight="1" x14ac:dyDescent="0.2">
      <c r="A8" s="8"/>
      <c r="B8" s="179" t="s">
        <v>4</v>
      </c>
      <c r="C8" s="180"/>
      <c r="D8" s="165" t="s">
        <v>54</v>
      </c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81"/>
      <c r="T8" s="10"/>
      <c r="U8" s="179" t="s">
        <v>4</v>
      </c>
      <c r="V8" s="180"/>
      <c r="W8" s="182" t="s">
        <v>55</v>
      </c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81"/>
      <c r="AM8" s="9"/>
    </row>
    <row r="9" spans="1:39" ht="24.95" customHeight="1" x14ac:dyDescent="0.2">
      <c r="A9" s="8"/>
      <c r="B9" s="179" t="s">
        <v>50</v>
      </c>
      <c r="C9" s="180"/>
      <c r="D9" s="183">
        <v>44825</v>
      </c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7"/>
      <c r="P9" s="168" t="s">
        <v>5</v>
      </c>
      <c r="Q9" s="169"/>
      <c r="R9" s="170">
        <v>75</v>
      </c>
      <c r="S9" s="171"/>
      <c r="T9" s="10"/>
      <c r="U9" s="179" t="s">
        <v>50</v>
      </c>
      <c r="V9" s="180"/>
      <c r="W9" s="183">
        <v>44834</v>
      </c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7"/>
      <c r="AI9" s="168" t="s">
        <v>5</v>
      </c>
      <c r="AJ9" s="169"/>
      <c r="AK9" s="170">
        <v>75</v>
      </c>
      <c r="AL9" s="171"/>
      <c r="AM9" s="9"/>
    </row>
    <row r="10" spans="1:39" ht="24.95" customHeight="1" x14ac:dyDescent="0.2">
      <c r="A10" s="8"/>
      <c r="B10" s="179" t="s">
        <v>6</v>
      </c>
      <c r="C10" s="180"/>
      <c r="D10" s="165" t="s">
        <v>57</v>
      </c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7"/>
      <c r="P10" s="168" t="s">
        <v>7</v>
      </c>
      <c r="Q10" s="169"/>
      <c r="R10" s="170">
        <v>500</v>
      </c>
      <c r="S10" s="171"/>
      <c r="T10" s="10"/>
      <c r="U10" s="179" t="s">
        <v>6</v>
      </c>
      <c r="V10" s="180"/>
      <c r="W10" s="165" t="s">
        <v>57</v>
      </c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7"/>
      <c r="AI10" s="168" t="s">
        <v>7</v>
      </c>
      <c r="AJ10" s="169"/>
      <c r="AK10" s="170">
        <v>500</v>
      </c>
      <c r="AL10" s="171"/>
      <c r="AM10" s="9"/>
    </row>
    <row r="11" spans="1:39" ht="24.95" customHeight="1" thickBot="1" x14ac:dyDescent="0.25">
      <c r="A11" s="8"/>
      <c r="B11" s="172" t="s">
        <v>8</v>
      </c>
      <c r="C11" s="173"/>
      <c r="D11" s="173"/>
      <c r="E11" s="173"/>
      <c r="F11" s="173"/>
      <c r="G11" s="173"/>
      <c r="H11" s="173"/>
      <c r="I11" s="173"/>
      <c r="J11" s="173"/>
      <c r="K11" s="174" t="s">
        <v>49</v>
      </c>
      <c r="L11" s="174"/>
      <c r="M11" s="174"/>
      <c r="N11" s="174"/>
      <c r="O11" s="174"/>
      <c r="P11" s="174"/>
      <c r="Q11" s="174"/>
      <c r="R11" s="174"/>
      <c r="S11" s="175"/>
      <c r="T11" s="10"/>
      <c r="U11" s="172" t="s">
        <v>8</v>
      </c>
      <c r="V11" s="173"/>
      <c r="W11" s="176"/>
      <c r="X11" s="176"/>
      <c r="Y11" s="176"/>
      <c r="Z11" s="176"/>
      <c r="AA11" s="176"/>
      <c r="AB11" s="176"/>
      <c r="AC11" s="176"/>
      <c r="AD11" s="177" t="str">
        <f>K11</f>
        <v>Hr</v>
      </c>
      <c r="AE11" s="177"/>
      <c r="AF11" s="177"/>
      <c r="AG11" s="177"/>
      <c r="AH11" s="177"/>
      <c r="AI11" s="177"/>
      <c r="AJ11" s="177"/>
      <c r="AK11" s="177"/>
      <c r="AL11" s="178"/>
      <c r="AM11" s="9"/>
    </row>
    <row r="12" spans="1:39" ht="24.95" customHeight="1" thickBot="1" x14ac:dyDescent="0.25">
      <c r="A12" s="8"/>
      <c r="B12" s="62" t="s">
        <v>9</v>
      </c>
      <c r="C12" s="62">
        <v>0</v>
      </c>
      <c r="D12" s="77">
        <v>1</v>
      </c>
      <c r="E12" s="75">
        <v>2</v>
      </c>
      <c r="F12" s="75">
        <v>3</v>
      </c>
      <c r="G12" s="75">
        <v>4</v>
      </c>
      <c r="H12" s="75">
        <v>6</v>
      </c>
      <c r="I12" s="75">
        <v>8</v>
      </c>
      <c r="J12" s="75">
        <v>10</v>
      </c>
      <c r="K12" s="75">
        <v>12</v>
      </c>
      <c r="L12" s="75"/>
      <c r="M12" s="75"/>
      <c r="N12" s="75"/>
      <c r="O12" s="75"/>
      <c r="P12" s="75"/>
      <c r="Q12" s="75"/>
      <c r="R12" s="75"/>
      <c r="S12" s="76"/>
      <c r="T12" s="10"/>
      <c r="U12" s="62" t="s">
        <v>9</v>
      </c>
      <c r="V12" s="61">
        <v>0</v>
      </c>
      <c r="W12" s="77">
        <v>1</v>
      </c>
      <c r="X12" s="75">
        <v>2</v>
      </c>
      <c r="Y12" s="75">
        <v>3</v>
      </c>
      <c r="Z12" s="75">
        <v>4</v>
      </c>
      <c r="AA12" s="75">
        <v>6</v>
      </c>
      <c r="AB12" s="75">
        <v>8</v>
      </c>
      <c r="AC12" s="75">
        <v>10</v>
      </c>
      <c r="AD12" s="75">
        <v>12</v>
      </c>
      <c r="AE12" s="75"/>
      <c r="AF12" s="75"/>
      <c r="AG12" s="75"/>
      <c r="AH12" s="75"/>
      <c r="AI12" s="75"/>
      <c r="AJ12" s="75"/>
      <c r="AK12" s="75"/>
      <c r="AL12" s="76"/>
      <c r="AM12" s="9"/>
    </row>
    <row r="13" spans="1:39" ht="24.95" customHeight="1" x14ac:dyDescent="0.2">
      <c r="A13" s="8"/>
      <c r="B13" s="63">
        <v>1</v>
      </c>
      <c r="C13" s="60">
        <v>0</v>
      </c>
      <c r="D13" s="108">
        <v>10.673441136030783</v>
      </c>
      <c r="E13" s="108">
        <v>25.567050992439242</v>
      </c>
      <c r="F13" s="108">
        <v>44.528741101376923</v>
      </c>
      <c r="G13" s="108">
        <v>62.635843046940956</v>
      </c>
      <c r="H13" s="108">
        <v>89.423482862962501</v>
      </c>
      <c r="I13" s="108">
        <v>104.87790653451452</v>
      </c>
      <c r="J13" s="108">
        <v>112.67042700888015</v>
      </c>
      <c r="K13" s="108">
        <v>116.92469795212241</v>
      </c>
      <c r="L13" s="80"/>
      <c r="M13" s="98"/>
      <c r="N13" s="99"/>
      <c r="O13" s="98"/>
      <c r="P13" s="98"/>
      <c r="Q13" s="81" t="s">
        <v>47</v>
      </c>
      <c r="R13" s="81" t="s">
        <v>47</v>
      </c>
      <c r="S13" s="82" t="s">
        <v>47</v>
      </c>
      <c r="T13" s="10"/>
      <c r="U13" s="63">
        <v>1</v>
      </c>
      <c r="V13" s="60">
        <v>0</v>
      </c>
      <c r="W13" s="108">
        <v>9.360883521328164</v>
      </c>
      <c r="X13" s="108">
        <v>22.699064984894321</v>
      </c>
      <c r="Y13" s="108">
        <v>41.652847808474149</v>
      </c>
      <c r="Z13" s="108">
        <v>58.870106043205396</v>
      </c>
      <c r="AA13" s="108">
        <v>90.172070167406233</v>
      </c>
      <c r="AB13" s="108">
        <v>104.52158594732036</v>
      </c>
      <c r="AC13" s="108">
        <v>110.64718165935497</v>
      </c>
      <c r="AD13" s="108">
        <v>114.97213230562259</v>
      </c>
      <c r="AE13" s="80"/>
      <c r="AF13" s="98"/>
      <c r="AG13" s="98"/>
      <c r="AH13" s="98"/>
      <c r="AI13" s="98"/>
      <c r="AJ13" s="69" t="s">
        <v>47</v>
      </c>
      <c r="AK13" s="69" t="s">
        <v>47</v>
      </c>
      <c r="AL13" s="70" t="s">
        <v>47</v>
      </c>
      <c r="AM13" s="9"/>
    </row>
    <row r="14" spans="1:39" ht="24.95" customHeight="1" x14ac:dyDescent="0.2">
      <c r="A14" s="8"/>
      <c r="B14" s="13">
        <v>2</v>
      </c>
      <c r="C14" s="43">
        <v>0</v>
      </c>
      <c r="D14" s="108">
        <v>7.0528592590933155</v>
      </c>
      <c r="E14" s="79">
        <v>21.482591886255719</v>
      </c>
      <c r="F14" s="79">
        <v>39.64997645329219</v>
      </c>
      <c r="G14" s="79">
        <v>58.928082012769963</v>
      </c>
      <c r="H14" s="79">
        <v>87.103480188104015</v>
      </c>
      <c r="I14" s="79">
        <v>104.67574598234151</v>
      </c>
      <c r="J14" s="79">
        <v>112.37691939707517</v>
      </c>
      <c r="K14" s="79">
        <v>116.79466670378285</v>
      </c>
      <c r="L14" s="85"/>
      <c r="M14" s="100"/>
      <c r="N14" s="101"/>
      <c r="O14" s="100"/>
      <c r="P14" s="100"/>
      <c r="Q14" s="83"/>
      <c r="R14" s="83"/>
      <c r="S14" s="84"/>
      <c r="T14" s="10"/>
      <c r="U14" s="13">
        <v>2</v>
      </c>
      <c r="V14" s="94">
        <v>0</v>
      </c>
      <c r="W14" s="108">
        <v>7.181571499629201</v>
      </c>
      <c r="X14" s="79">
        <v>22.319577977615271</v>
      </c>
      <c r="Y14" s="79">
        <v>40.135384069334599</v>
      </c>
      <c r="Z14" s="79">
        <v>57.669349833510587</v>
      </c>
      <c r="AA14" s="79">
        <v>87.110530957384682</v>
      </c>
      <c r="AB14" s="79">
        <v>101.10152074504549</v>
      </c>
      <c r="AC14" s="79">
        <v>109.45492102823877</v>
      </c>
      <c r="AD14" s="79">
        <v>112.43043256991506</v>
      </c>
      <c r="AE14" s="85"/>
      <c r="AF14" s="100"/>
      <c r="AG14" s="100"/>
      <c r="AH14" s="100"/>
      <c r="AI14" s="100"/>
      <c r="AJ14" s="71"/>
      <c r="AK14" s="71"/>
      <c r="AL14" s="72"/>
      <c r="AM14" s="9"/>
    </row>
    <row r="15" spans="1:39" ht="24.95" customHeight="1" x14ac:dyDescent="0.2">
      <c r="A15" s="8"/>
      <c r="B15" s="13">
        <v>3</v>
      </c>
      <c r="C15" s="43">
        <v>0</v>
      </c>
      <c r="D15" s="108">
        <v>5.9341593741861605</v>
      </c>
      <c r="E15" s="79">
        <v>20.111262673858043</v>
      </c>
      <c r="F15" s="79">
        <v>36.931261398822109</v>
      </c>
      <c r="G15" s="79">
        <v>53.549526874617975</v>
      </c>
      <c r="H15" s="79">
        <v>83.802679375842743</v>
      </c>
      <c r="I15" s="79">
        <v>100.87661991010556</v>
      </c>
      <c r="J15" s="79">
        <v>114.08154929622638</v>
      </c>
      <c r="K15" s="79">
        <v>118.62887111662826</v>
      </c>
      <c r="L15" s="85"/>
      <c r="M15" s="100"/>
      <c r="N15" s="101"/>
      <c r="O15" s="100"/>
      <c r="P15" s="100"/>
      <c r="Q15" s="83"/>
      <c r="R15" s="83"/>
      <c r="S15" s="84"/>
      <c r="T15" s="10"/>
      <c r="U15" s="13">
        <v>3</v>
      </c>
      <c r="V15" s="94">
        <v>0</v>
      </c>
      <c r="W15" s="108">
        <v>9.9601303052030783</v>
      </c>
      <c r="X15" s="79">
        <v>21.916647502851198</v>
      </c>
      <c r="Y15" s="79">
        <v>39.487584846971181</v>
      </c>
      <c r="Z15" s="79">
        <v>59.888328887560597</v>
      </c>
      <c r="AA15" s="79">
        <v>85.566041995972412</v>
      </c>
      <c r="AB15" s="79">
        <v>105.00441082521114</v>
      </c>
      <c r="AC15" s="79">
        <v>112.29450623705647</v>
      </c>
      <c r="AD15" s="79">
        <v>118.7029580984689</v>
      </c>
      <c r="AE15" s="85"/>
      <c r="AF15" s="100"/>
      <c r="AG15" s="100"/>
      <c r="AH15" s="100"/>
      <c r="AI15" s="100"/>
      <c r="AJ15" s="71"/>
      <c r="AK15" s="71"/>
      <c r="AL15" s="72"/>
      <c r="AM15" s="9"/>
    </row>
    <row r="16" spans="1:39" ht="24.95" customHeight="1" x14ac:dyDescent="0.2">
      <c r="A16" s="8"/>
      <c r="B16" s="13">
        <v>4</v>
      </c>
      <c r="C16" s="43">
        <v>0</v>
      </c>
      <c r="D16" s="108">
        <v>7.6391709814815343</v>
      </c>
      <c r="E16" s="79">
        <v>20.580980714285896</v>
      </c>
      <c r="F16" s="79">
        <v>38.119223974025495</v>
      </c>
      <c r="G16" s="79">
        <v>55.74161329435087</v>
      </c>
      <c r="H16" s="79">
        <v>83.15558569081432</v>
      </c>
      <c r="I16" s="79">
        <v>99.363250201943814</v>
      </c>
      <c r="J16" s="79">
        <v>110.32136495006864</v>
      </c>
      <c r="K16" s="79">
        <v>115.58901339893981</v>
      </c>
      <c r="L16" s="85"/>
      <c r="M16" s="100"/>
      <c r="N16" s="101"/>
      <c r="O16" s="100"/>
      <c r="P16" s="100"/>
      <c r="Q16" s="83"/>
      <c r="R16" s="83"/>
      <c r="S16" s="84"/>
      <c r="T16" s="10"/>
      <c r="U16" s="13">
        <v>4</v>
      </c>
      <c r="V16" s="94">
        <v>0</v>
      </c>
      <c r="W16" s="108">
        <v>6.6403714127678075</v>
      </c>
      <c r="X16" s="79">
        <v>23.954434141162682</v>
      </c>
      <c r="Y16" s="79">
        <v>43.990571391682266</v>
      </c>
      <c r="Z16" s="79">
        <v>56.821080871387224</v>
      </c>
      <c r="AA16" s="79">
        <v>92.286714185035279</v>
      </c>
      <c r="AB16" s="79">
        <v>107.68570250582636</v>
      </c>
      <c r="AC16" s="79">
        <v>113.10082598543673</v>
      </c>
      <c r="AD16" s="79">
        <v>116.06979488720863</v>
      </c>
      <c r="AE16" s="80"/>
      <c r="AF16" s="100"/>
      <c r="AG16" s="100"/>
      <c r="AH16" s="100"/>
      <c r="AI16" s="100"/>
      <c r="AJ16" s="71"/>
      <c r="AK16" s="71"/>
      <c r="AL16" s="72"/>
      <c r="AM16" s="9"/>
    </row>
    <row r="17" spans="1:39" ht="24.95" customHeight="1" x14ac:dyDescent="0.2">
      <c r="A17" s="8"/>
      <c r="B17" s="13">
        <v>5</v>
      </c>
      <c r="C17" s="43">
        <v>0</v>
      </c>
      <c r="D17" s="108">
        <v>6.4288866377487732</v>
      </c>
      <c r="E17" s="79">
        <v>21.485610204996455</v>
      </c>
      <c r="F17" s="79">
        <v>39.985100547751131</v>
      </c>
      <c r="G17" s="79">
        <v>58.301745967063553</v>
      </c>
      <c r="H17" s="79">
        <v>86.424459529481013</v>
      </c>
      <c r="I17" s="79">
        <v>104.58282248935257</v>
      </c>
      <c r="J17" s="79">
        <v>115.46831483424297</v>
      </c>
      <c r="K17" s="79">
        <v>118.37141432711249</v>
      </c>
      <c r="L17" s="85"/>
      <c r="M17" s="100"/>
      <c r="N17" s="101"/>
      <c r="O17" s="100"/>
      <c r="P17" s="100"/>
      <c r="Q17" s="83"/>
      <c r="R17" s="83"/>
      <c r="S17" s="84"/>
      <c r="T17" s="10"/>
      <c r="U17" s="13">
        <v>5</v>
      </c>
      <c r="V17" s="94">
        <v>0</v>
      </c>
      <c r="W17" s="108">
        <v>8.7556613421724361</v>
      </c>
      <c r="X17" s="79">
        <v>22.704782912205314</v>
      </c>
      <c r="Y17" s="79">
        <v>41.737140775971923</v>
      </c>
      <c r="Z17" s="79">
        <v>58.479063151603931</v>
      </c>
      <c r="AA17" s="79">
        <v>90.545509253367598</v>
      </c>
      <c r="AB17" s="79">
        <v>104.33784928160321</v>
      </c>
      <c r="AC17" s="79">
        <v>111.29787496199098</v>
      </c>
      <c r="AD17" s="79">
        <v>114.82974249117474</v>
      </c>
      <c r="AE17" s="85"/>
      <c r="AF17" s="100"/>
      <c r="AG17" s="100"/>
      <c r="AH17" s="100"/>
      <c r="AI17" s="100"/>
      <c r="AJ17" s="71"/>
      <c r="AK17" s="71"/>
      <c r="AL17" s="72"/>
      <c r="AM17" s="9"/>
    </row>
    <row r="18" spans="1:39" ht="24.95" customHeight="1" x14ac:dyDescent="0.2">
      <c r="A18" s="8"/>
      <c r="B18" s="13">
        <v>6</v>
      </c>
      <c r="C18" s="43">
        <v>0</v>
      </c>
      <c r="D18" s="108">
        <v>5.6585500681876111</v>
      </c>
      <c r="E18" s="79">
        <v>15.736895742871575</v>
      </c>
      <c r="F18" s="79">
        <v>31.010486928221191</v>
      </c>
      <c r="G18" s="79">
        <v>47.529675984003113</v>
      </c>
      <c r="H18" s="79">
        <v>75.442527484962341</v>
      </c>
      <c r="I18" s="79">
        <v>94.375843031043544</v>
      </c>
      <c r="J18" s="79">
        <v>105.34301506146596</v>
      </c>
      <c r="K18" s="79">
        <v>111.81219944268362</v>
      </c>
      <c r="L18" s="85"/>
      <c r="M18" s="100"/>
      <c r="N18" s="101"/>
      <c r="O18" s="100"/>
      <c r="P18" s="100"/>
      <c r="Q18" s="83"/>
      <c r="R18" s="83"/>
      <c r="S18" s="84"/>
      <c r="T18" s="10"/>
      <c r="U18" s="13">
        <v>6</v>
      </c>
      <c r="V18" s="94">
        <v>0</v>
      </c>
      <c r="W18" s="108">
        <v>7.4197336829641056</v>
      </c>
      <c r="X18" s="79">
        <v>22.583962057903211</v>
      </c>
      <c r="Y18" s="79">
        <v>37.33635404731605</v>
      </c>
      <c r="Z18" s="79">
        <v>56.918596594280785</v>
      </c>
      <c r="AA18" s="79">
        <v>87.749295022049949</v>
      </c>
      <c r="AB18" s="79">
        <v>100.9963880230748</v>
      </c>
      <c r="AC18" s="79">
        <v>109.4538282937188</v>
      </c>
      <c r="AD18" s="79">
        <v>110.93261107562577</v>
      </c>
      <c r="AE18" s="85"/>
      <c r="AF18" s="100"/>
      <c r="AG18" s="100"/>
      <c r="AH18" s="100"/>
      <c r="AI18" s="100"/>
      <c r="AJ18" s="71"/>
      <c r="AK18" s="71"/>
      <c r="AL18" s="72"/>
      <c r="AM18" s="9"/>
    </row>
    <row r="19" spans="1:39" ht="24.95" customHeight="1" x14ac:dyDescent="0.2">
      <c r="A19" s="8"/>
      <c r="B19" s="13">
        <v>7</v>
      </c>
      <c r="C19" s="43">
        <v>0</v>
      </c>
      <c r="D19" s="108">
        <v>6.3157549361129339</v>
      </c>
      <c r="E19" s="79">
        <v>19.588732322430193</v>
      </c>
      <c r="F19" s="79">
        <v>37.336293659144644</v>
      </c>
      <c r="G19" s="79">
        <v>52.771324561066471</v>
      </c>
      <c r="H19" s="79">
        <v>83.03181905171337</v>
      </c>
      <c r="I19" s="79">
        <v>99.296606051005</v>
      </c>
      <c r="J19" s="79">
        <v>112.44618052161256</v>
      </c>
      <c r="K19" s="79">
        <v>117.10541646591138</v>
      </c>
      <c r="L19" s="85"/>
      <c r="M19" s="100"/>
      <c r="N19" s="101"/>
      <c r="O19" s="100"/>
      <c r="P19" s="100"/>
      <c r="Q19" s="83"/>
      <c r="R19" s="83"/>
      <c r="S19" s="84"/>
      <c r="T19" s="10"/>
      <c r="U19" s="13">
        <v>7</v>
      </c>
      <c r="V19" s="94">
        <v>0</v>
      </c>
      <c r="W19" s="108">
        <v>10.946513282577202</v>
      </c>
      <c r="X19" s="79">
        <v>22.256344207950097</v>
      </c>
      <c r="Y19" s="79">
        <v>39.735977865581077</v>
      </c>
      <c r="Z19" s="79">
        <v>60.137003614698997</v>
      </c>
      <c r="AA19" s="79">
        <v>85.277741882588671</v>
      </c>
      <c r="AB19" s="79">
        <v>104.22057772359024</v>
      </c>
      <c r="AC19" s="79">
        <v>112.39258134693698</v>
      </c>
      <c r="AD19" s="79">
        <v>117.57598932418809</v>
      </c>
      <c r="AE19" s="85"/>
      <c r="AF19" s="100"/>
      <c r="AG19" s="100"/>
      <c r="AH19" s="100"/>
      <c r="AI19" s="100"/>
      <c r="AJ19" s="71"/>
      <c r="AK19" s="71"/>
      <c r="AL19" s="72"/>
      <c r="AM19" s="9"/>
    </row>
    <row r="20" spans="1:39" ht="24.95" customHeight="1" x14ac:dyDescent="0.2">
      <c r="A20" s="8"/>
      <c r="B20" s="13">
        <v>8</v>
      </c>
      <c r="C20" s="43">
        <v>0</v>
      </c>
      <c r="D20" s="108">
        <v>6.9616374299068573</v>
      </c>
      <c r="E20" s="79">
        <v>20.795506194096902</v>
      </c>
      <c r="F20" s="79">
        <v>38.202056534995116</v>
      </c>
      <c r="G20" s="79">
        <v>55.325166722234691</v>
      </c>
      <c r="H20" s="79">
        <v>82.343875028354333</v>
      </c>
      <c r="I20" s="79">
        <v>98.023847741232032</v>
      </c>
      <c r="J20" s="79">
        <v>108.17621936630027</v>
      </c>
      <c r="K20" s="79">
        <v>113.85515689518395</v>
      </c>
      <c r="L20" s="85"/>
      <c r="M20" s="100"/>
      <c r="N20" s="101"/>
      <c r="O20" s="100"/>
      <c r="P20" s="100"/>
      <c r="Q20" s="83"/>
      <c r="R20" s="83"/>
      <c r="S20" s="84"/>
      <c r="T20" s="10"/>
      <c r="U20" s="13">
        <v>8</v>
      </c>
      <c r="V20" s="94">
        <v>0</v>
      </c>
      <c r="W20" s="108">
        <v>8.9176874254189507</v>
      </c>
      <c r="X20" s="79">
        <v>23.613839517487719</v>
      </c>
      <c r="Y20" s="79">
        <v>41.719215720648066</v>
      </c>
      <c r="Z20" s="79">
        <v>58.87727925530973</v>
      </c>
      <c r="AA20" s="79">
        <v>89.766852292245957</v>
      </c>
      <c r="AB20" s="79">
        <v>103.50466932183379</v>
      </c>
      <c r="AC20" s="79">
        <v>110.45858788417601</v>
      </c>
      <c r="AD20" s="79">
        <v>114.31757152639018</v>
      </c>
      <c r="AE20" s="85"/>
      <c r="AF20" s="100"/>
      <c r="AG20" s="100"/>
      <c r="AH20" s="100"/>
      <c r="AI20" s="100"/>
      <c r="AJ20" s="71"/>
      <c r="AK20" s="71"/>
      <c r="AL20" s="72"/>
      <c r="AM20" s="9"/>
    </row>
    <row r="21" spans="1:39" ht="24.95" customHeight="1" x14ac:dyDescent="0.2">
      <c r="A21" s="8"/>
      <c r="B21" s="13">
        <v>9</v>
      </c>
      <c r="C21" s="43">
        <v>0</v>
      </c>
      <c r="D21" s="108">
        <v>6.753234883893966</v>
      </c>
      <c r="E21" s="79">
        <v>22.396463273598002</v>
      </c>
      <c r="F21" s="79">
        <v>39.777222825138928</v>
      </c>
      <c r="G21" s="79">
        <v>57.318582005359289</v>
      </c>
      <c r="H21" s="79">
        <v>86.331337716772978</v>
      </c>
      <c r="I21" s="79">
        <v>102.22204843366663</v>
      </c>
      <c r="J21" s="79">
        <v>114.34573849629118</v>
      </c>
      <c r="K21" s="79">
        <v>116.82122034332029</v>
      </c>
      <c r="L21" s="85"/>
      <c r="M21" s="100"/>
      <c r="N21" s="101"/>
      <c r="O21" s="100"/>
      <c r="P21" s="100"/>
      <c r="Q21" s="83"/>
      <c r="R21" s="83"/>
      <c r="S21" s="84"/>
      <c r="T21" s="10"/>
      <c r="U21" s="13">
        <v>9</v>
      </c>
      <c r="V21" s="94">
        <v>0</v>
      </c>
      <c r="W21" s="108">
        <v>7.091744153976526</v>
      </c>
      <c r="X21" s="79">
        <v>24.509115619186556</v>
      </c>
      <c r="Y21" s="79">
        <v>44.235961809008295</v>
      </c>
      <c r="Z21" s="79">
        <v>56.798522063387757</v>
      </c>
      <c r="AA21" s="79">
        <v>91.529907851809028</v>
      </c>
      <c r="AB21" s="79">
        <v>106.43772518350916</v>
      </c>
      <c r="AC21" s="79">
        <v>112.64334496591172</v>
      </c>
      <c r="AD21" s="79">
        <v>115.27662930223279</v>
      </c>
      <c r="AE21" s="85"/>
      <c r="AF21" s="100"/>
      <c r="AG21" s="100"/>
      <c r="AH21" s="100"/>
      <c r="AI21" s="100"/>
      <c r="AJ21" s="71"/>
      <c r="AK21" s="71"/>
      <c r="AL21" s="72"/>
      <c r="AM21" s="9"/>
    </row>
    <row r="22" spans="1:39" ht="24.95" customHeight="1" x14ac:dyDescent="0.2">
      <c r="A22" s="8"/>
      <c r="B22" s="13">
        <v>10</v>
      </c>
      <c r="C22" s="43">
        <v>0</v>
      </c>
      <c r="D22" s="108">
        <v>5.4242551559466721</v>
      </c>
      <c r="E22" s="79">
        <v>16.154184853539487</v>
      </c>
      <c r="F22" s="79">
        <v>30.757548819497657</v>
      </c>
      <c r="G22" s="79">
        <v>46.951106784380855</v>
      </c>
      <c r="H22" s="79">
        <v>74.621661773077463</v>
      </c>
      <c r="I22" s="79">
        <v>93.593417667335842</v>
      </c>
      <c r="J22" s="79">
        <v>103.40311412952533</v>
      </c>
      <c r="K22" s="79">
        <v>111.23737184082772</v>
      </c>
      <c r="L22" s="85"/>
      <c r="M22" s="100"/>
      <c r="N22" s="101"/>
      <c r="O22" s="100"/>
      <c r="P22" s="100"/>
      <c r="Q22" s="83"/>
      <c r="R22" s="83"/>
      <c r="S22" s="84"/>
      <c r="T22" s="10"/>
      <c r="U22" s="13">
        <v>10</v>
      </c>
      <c r="V22" s="94">
        <v>0</v>
      </c>
      <c r="W22" s="108">
        <v>8.0171880798032191</v>
      </c>
      <c r="X22" s="79">
        <v>23.277121448010924</v>
      </c>
      <c r="Y22" s="79">
        <v>40.513734264984869</v>
      </c>
      <c r="Z22" s="79">
        <v>58.041745625827559</v>
      </c>
      <c r="AA22" s="79">
        <v>86.475626702501941</v>
      </c>
      <c r="AB22" s="79">
        <v>100.52079776174999</v>
      </c>
      <c r="AC22" s="79">
        <v>108.97901868471402</v>
      </c>
      <c r="AD22" s="79">
        <v>111.47269928446532</v>
      </c>
      <c r="AE22" s="85"/>
      <c r="AF22" s="100"/>
      <c r="AG22" s="100"/>
      <c r="AH22" s="100"/>
      <c r="AI22" s="100"/>
      <c r="AJ22" s="71"/>
      <c r="AK22" s="71"/>
      <c r="AL22" s="72"/>
      <c r="AM22" s="9"/>
    </row>
    <row r="23" spans="1:39" ht="24.95" customHeight="1" x14ac:dyDescent="0.2">
      <c r="A23" s="8"/>
      <c r="B23" s="13">
        <v>11</v>
      </c>
      <c r="C23" s="43">
        <v>0</v>
      </c>
      <c r="D23" s="108">
        <v>7.0418558702372183</v>
      </c>
      <c r="E23" s="79">
        <v>25.944454803737152</v>
      </c>
      <c r="F23" s="79">
        <v>44.892217750371309</v>
      </c>
      <c r="G23" s="79">
        <v>62.076739944525883</v>
      </c>
      <c r="H23" s="79">
        <v>88.253503263148602</v>
      </c>
      <c r="I23" s="79">
        <v>103.48517078077326</v>
      </c>
      <c r="J23" s="79">
        <v>111.74792958594982</v>
      </c>
      <c r="K23" s="79">
        <v>114.73720057433445</v>
      </c>
      <c r="L23" s="85"/>
      <c r="M23" s="100"/>
      <c r="N23" s="101"/>
      <c r="O23" s="100"/>
      <c r="P23" s="100"/>
      <c r="Q23" s="83"/>
      <c r="R23" s="83"/>
      <c r="S23" s="84"/>
      <c r="T23" s="10"/>
      <c r="U23" s="13">
        <v>11</v>
      </c>
      <c r="V23" s="94">
        <v>0</v>
      </c>
      <c r="W23" s="108">
        <v>10.671291414249588</v>
      </c>
      <c r="X23" s="79">
        <v>22.269204440870379</v>
      </c>
      <c r="Y23" s="79">
        <v>39.668955426911182</v>
      </c>
      <c r="Z23" s="79">
        <v>59.423100872688138</v>
      </c>
      <c r="AA23" s="79">
        <v>85.676455879454394</v>
      </c>
      <c r="AB23" s="79">
        <v>104.42095534830379</v>
      </c>
      <c r="AC23" s="79">
        <v>111.36893149337928</v>
      </c>
      <c r="AD23" s="79">
        <v>117.77009418928962</v>
      </c>
      <c r="AE23" s="85"/>
      <c r="AF23" s="100"/>
      <c r="AG23" s="100"/>
      <c r="AH23" s="100"/>
      <c r="AI23" s="100"/>
      <c r="AJ23" s="71"/>
      <c r="AK23" s="71"/>
      <c r="AL23" s="72"/>
      <c r="AM23" s="9"/>
    </row>
    <row r="24" spans="1:39" ht="24.95" customHeight="1" thickBot="1" x14ac:dyDescent="0.25">
      <c r="A24" s="8"/>
      <c r="B24" s="86">
        <v>12</v>
      </c>
      <c r="C24" s="87">
        <v>0</v>
      </c>
      <c r="D24" s="109">
        <v>9.4310422013135913</v>
      </c>
      <c r="E24" s="110">
        <v>21.676835281787906</v>
      </c>
      <c r="F24" s="110">
        <v>40.713552106007221</v>
      </c>
      <c r="G24" s="110">
        <v>59.316500826238737</v>
      </c>
      <c r="H24" s="110">
        <v>85.216041237579375</v>
      </c>
      <c r="I24" s="110">
        <v>102.82378554019182</v>
      </c>
      <c r="J24" s="110">
        <v>110.93591732397937</v>
      </c>
      <c r="K24" s="110">
        <v>115.9126143208883</v>
      </c>
      <c r="L24" s="88"/>
      <c r="M24" s="102"/>
      <c r="N24" s="103"/>
      <c r="O24" s="102"/>
      <c r="P24" s="104"/>
      <c r="Q24" s="89"/>
      <c r="R24" s="89"/>
      <c r="S24" s="90"/>
      <c r="T24" s="10"/>
      <c r="U24" s="14">
        <v>12</v>
      </c>
      <c r="V24" s="54">
        <v>0</v>
      </c>
      <c r="W24" s="111">
        <v>7.0185733853577039</v>
      </c>
      <c r="X24" s="112">
        <v>24.433467946140109</v>
      </c>
      <c r="Y24" s="112">
        <v>43.837615783588156</v>
      </c>
      <c r="Z24" s="112">
        <v>56.463028946058024</v>
      </c>
      <c r="AA24" s="112">
        <v>91.775429732870492</v>
      </c>
      <c r="AB24" s="112">
        <v>106.88381663855829</v>
      </c>
      <c r="AC24" s="112">
        <v>112.73769907894314</v>
      </c>
      <c r="AD24" s="112">
        <v>114.99748004833198</v>
      </c>
      <c r="AE24" s="85"/>
      <c r="AF24" s="102"/>
      <c r="AG24" s="102"/>
      <c r="AH24" s="102"/>
      <c r="AI24" s="102"/>
      <c r="AJ24" s="73"/>
      <c r="AK24" s="73"/>
      <c r="AL24" s="74"/>
      <c r="AM24" s="9"/>
    </row>
    <row r="25" spans="1:39" ht="24.95" customHeight="1" x14ac:dyDescent="0.2">
      <c r="A25" s="8"/>
      <c r="B25" s="11" t="s">
        <v>48</v>
      </c>
      <c r="C25" s="12">
        <v>0</v>
      </c>
      <c r="D25" s="48">
        <f t="shared" ref="D25:P25" si="0">IFERROR(ROUND((AVERAGE(D13:D24)),1),"")</f>
        <v>7.1</v>
      </c>
      <c r="E25" s="48">
        <f t="shared" si="0"/>
        <v>21</v>
      </c>
      <c r="F25" s="48">
        <f t="shared" si="0"/>
        <v>38.5</v>
      </c>
      <c r="G25" s="48">
        <f t="shared" si="0"/>
        <v>55.9</v>
      </c>
      <c r="H25" s="48">
        <f t="shared" si="0"/>
        <v>83.8</v>
      </c>
      <c r="I25" s="48">
        <f t="shared" si="0"/>
        <v>100.7</v>
      </c>
      <c r="J25" s="48">
        <f t="shared" si="0"/>
        <v>110.9</v>
      </c>
      <c r="K25" s="48">
        <f t="shared" si="0"/>
        <v>115.6</v>
      </c>
      <c r="L25" s="105" t="str">
        <f t="shared" si="0"/>
        <v/>
      </c>
      <c r="M25" s="105" t="str">
        <f t="shared" si="0"/>
        <v/>
      </c>
      <c r="N25" s="105" t="str">
        <f t="shared" si="0"/>
        <v/>
      </c>
      <c r="O25" s="105" t="str">
        <f t="shared" si="0"/>
        <v/>
      </c>
      <c r="P25" s="105" t="str">
        <f t="shared" si="0"/>
        <v/>
      </c>
      <c r="Q25" s="48" t="str">
        <f t="shared" ref="Q25:S25" si="1">IFERROR(ROUND((AVERAGE(Q13:Q24)),0),"")</f>
        <v/>
      </c>
      <c r="R25" s="48" t="str">
        <f t="shared" si="1"/>
        <v/>
      </c>
      <c r="S25" s="55" t="str">
        <f t="shared" si="1"/>
        <v/>
      </c>
      <c r="T25" s="10"/>
      <c r="U25" s="63" t="s">
        <v>48</v>
      </c>
      <c r="V25" s="96">
        <v>0</v>
      </c>
      <c r="W25" s="95">
        <f>IFERROR(ROUND((AVERAGE(W13:W24)),1),"")</f>
        <v>8.5</v>
      </c>
      <c r="X25" s="95">
        <f t="shared" ref="X25:AE25" si="2">IFERROR(ROUND((AVERAGE(X13:X24)),1),"")</f>
        <v>23</v>
      </c>
      <c r="Y25" s="95">
        <f t="shared" si="2"/>
        <v>41.2</v>
      </c>
      <c r="Z25" s="95">
        <f t="shared" si="2"/>
        <v>58.2</v>
      </c>
      <c r="AA25" s="95">
        <f t="shared" si="2"/>
        <v>88.7</v>
      </c>
      <c r="AB25" s="95">
        <f t="shared" si="2"/>
        <v>104.1</v>
      </c>
      <c r="AC25" s="95">
        <f t="shared" si="2"/>
        <v>111.2</v>
      </c>
      <c r="AD25" s="95">
        <f t="shared" si="2"/>
        <v>114.9</v>
      </c>
      <c r="AE25" s="106" t="str">
        <f t="shared" si="2"/>
        <v/>
      </c>
      <c r="AF25" s="106" t="str">
        <f>IFERROR(ROUND((AVERAGE(AF13:AF24)),1),"")</f>
        <v/>
      </c>
      <c r="AG25" s="106" t="str">
        <f>IFERROR(ROUND((AVERAGE(AG13:AG24)),1),"")</f>
        <v/>
      </c>
      <c r="AH25" s="106" t="str">
        <f>IFERROR(ROUND((AVERAGE(AH13:AH24)),1),"")</f>
        <v/>
      </c>
      <c r="AI25" s="95" t="str">
        <f>IFERROR(ROUND((AVERAGE(AI13:AI24)),1),"")</f>
        <v/>
      </c>
      <c r="AJ25" s="95" t="str">
        <f t="shared" ref="AJ25:AL25" si="3">IFERROR(ROUND((AVERAGE(AJ13:AJ24)),0),"")</f>
        <v/>
      </c>
      <c r="AK25" s="95" t="str">
        <f t="shared" si="3"/>
        <v/>
      </c>
      <c r="AL25" s="97" t="str">
        <f t="shared" si="3"/>
        <v/>
      </c>
      <c r="AM25" s="9"/>
    </row>
    <row r="26" spans="1:39" ht="24.95" customHeight="1" x14ac:dyDescent="0.2">
      <c r="A26" s="8"/>
      <c r="B26" s="13" t="s">
        <v>10</v>
      </c>
      <c r="C26" s="15" t="s">
        <v>11</v>
      </c>
      <c r="D26" s="49">
        <f>IFERROR(ROUND(STDEV(D13:D24),1),"")</f>
        <v>1.5</v>
      </c>
      <c r="E26" s="49">
        <f t="shared" ref="E26:S26" si="4">IFERROR(ROUND(STDEV(E13:E24),1),"")</f>
        <v>3.1</v>
      </c>
      <c r="F26" s="49">
        <f t="shared" si="4"/>
        <v>4.3</v>
      </c>
      <c r="G26" s="49">
        <f t="shared" si="4"/>
        <v>5</v>
      </c>
      <c r="H26" s="49">
        <f t="shared" si="4"/>
        <v>4.5999999999999996</v>
      </c>
      <c r="I26" s="49">
        <f t="shared" si="4"/>
        <v>3.9</v>
      </c>
      <c r="J26" s="49">
        <f t="shared" si="4"/>
        <v>3.6</v>
      </c>
      <c r="K26" s="49">
        <f t="shared" si="4"/>
        <v>2.4</v>
      </c>
      <c r="L26" s="49" t="str">
        <f t="shared" si="4"/>
        <v/>
      </c>
      <c r="M26" s="49" t="str">
        <f t="shared" si="4"/>
        <v/>
      </c>
      <c r="N26" s="49" t="str">
        <f t="shared" si="4"/>
        <v/>
      </c>
      <c r="O26" s="49" t="str">
        <f t="shared" si="4"/>
        <v/>
      </c>
      <c r="P26" s="49" t="str">
        <f t="shared" si="4"/>
        <v/>
      </c>
      <c r="Q26" s="49" t="str">
        <f t="shared" si="4"/>
        <v/>
      </c>
      <c r="R26" s="49" t="str">
        <f t="shared" si="4"/>
        <v/>
      </c>
      <c r="S26" s="56" t="str">
        <f t="shared" si="4"/>
        <v/>
      </c>
      <c r="T26" s="10"/>
      <c r="U26" s="13" t="s">
        <v>10</v>
      </c>
      <c r="V26" s="15" t="s">
        <v>11</v>
      </c>
      <c r="W26" s="49">
        <f>IFERROR(ROUND(STDEV(W13:W24),1),"")</f>
        <v>1.5</v>
      </c>
      <c r="X26" s="49">
        <f t="shared" ref="X26:AL26" si="5">IFERROR(ROUND(STDEV(X13:X24),1),"")</f>
        <v>0.9</v>
      </c>
      <c r="Y26" s="49">
        <f t="shared" si="5"/>
        <v>2.1</v>
      </c>
      <c r="Z26" s="49">
        <f t="shared" si="5"/>
        <v>1.3</v>
      </c>
      <c r="AA26" s="49">
        <f t="shared" si="5"/>
        <v>2.6</v>
      </c>
      <c r="AB26" s="49">
        <f t="shared" si="5"/>
        <v>2.2999999999999998</v>
      </c>
      <c r="AC26" s="49">
        <f t="shared" si="5"/>
        <v>1.4</v>
      </c>
      <c r="AD26" s="49">
        <f t="shared" si="5"/>
        <v>2.4</v>
      </c>
      <c r="AE26" s="49" t="str">
        <f t="shared" si="5"/>
        <v/>
      </c>
      <c r="AF26" s="49" t="str">
        <f t="shared" si="5"/>
        <v/>
      </c>
      <c r="AG26" s="49" t="str">
        <f t="shared" si="5"/>
        <v/>
      </c>
      <c r="AH26" s="49" t="str">
        <f t="shared" si="5"/>
        <v/>
      </c>
      <c r="AI26" s="49" t="str">
        <f t="shared" si="5"/>
        <v/>
      </c>
      <c r="AJ26" s="49" t="str">
        <f t="shared" si="5"/>
        <v/>
      </c>
      <c r="AK26" s="49" t="str">
        <f t="shared" si="5"/>
        <v/>
      </c>
      <c r="AL26" s="56" t="str">
        <f t="shared" si="5"/>
        <v/>
      </c>
      <c r="AM26" s="9"/>
    </row>
    <row r="27" spans="1:39" ht="24.95" customHeight="1" x14ac:dyDescent="0.2">
      <c r="A27" s="8"/>
      <c r="B27" s="13" t="s">
        <v>12</v>
      </c>
      <c r="C27" s="15" t="s">
        <v>11</v>
      </c>
      <c r="D27" s="50">
        <f>IFERROR(ROUND((D26*100/D25),1),"")</f>
        <v>21.1</v>
      </c>
      <c r="E27" s="50">
        <f t="shared" ref="E27:S27" si="6">IFERROR(ROUND((E26*100/E25),1),"")</f>
        <v>14.8</v>
      </c>
      <c r="F27" s="50">
        <f t="shared" si="6"/>
        <v>11.2</v>
      </c>
      <c r="G27" s="50">
        <f t="shared" si="6"/>
        <v>8.9</v>
      </c>
      <c r="H27" s="50">
        <f t="shared" si="6"/>
        <v>5.5</v>
      </c>
      <c r="I27" s="50">
        <f t="shared" si="6"/>
        <v>3.9</v>
      </c>
      <c r="J27" s="50">
        <f t="shared" si="6"/>
        <v>3.2</v>
      </c>
      <c r="K27" s="50">
        <f t="shared" si="6"/>
        <v>2.1</v>
      </c>
      <c r="L27" s="50" t="str">
        <f t="shared" si="6"/>
        <v/>
      </c>
      <c r="M27" s="50" t="str">
        <f t="shared" si="6"/>
        <v/>
      </c>
      <c r="N27" s="50" t="str">
        <f t="shared" si="6"/>
        <v/>
      </c>
      <c r="O27" s="50" t="str">
        <f t="shared" si="6"/>
        <v/>
      </c>
      <c r="P27" s="50" t="str">
        <f t="shared" si="6"/>
        <v/>
      </c>
      <c r="Q27" s="50" t="str">
        <f t="shared" si="6"/>
        <v/>
      </c>
      <c r="R27" s="50" t="str">
        <f t="shared" si="6"/>
        <v/>
      </c>
      <c r="S27" s="57" t="str">
        <f t="shared" si="6"/>
        <v/>
      </c>
      <c r="T27" s="10"/>
      <c r="U27" s="13" t="s">
        <v>12</v>
      </c>
      <c r="V27" s="15" t="s">
        <v>11</v>
      </c>
      <c r="W27" s="50">
        <f>IFERROR(ROUND((W26*100/W25),1),"")</f>
        <v>17.600000000000001</v>
      </c>
      <c r="X27" s="50">
        <f t="shared" ref="X27:AL27" si="7">IFERROR(ROUND((X26*100/X25),1),"")</f>
        <v>3.9</v>
      </c>
      <c r="Y27" s="50">
        <f t="shared" si="7"/>
        <v>5.0999999999999996</v>
      </c>
      <c r="Z27" s="50">
        <f t="shared" si="7"/>
        <v>2.2000000000000002</v>
      </c>
      <c r="AA27" s="50">
        <f t="shared" si="7"/>
        <v>2.9</v>
      </c>
      <c r="AB27" s="50">
        <f t="shared" si="7"/>
        <v>2.2000000000000002</v>
      </c>
      <c r="AC27" s="50">
        <f t="shared" si="7"/>
        <v>1.3</v>
      </c>
      <c r="AD27" s="50">
        <f t="shared" si="7"/>
        <v>2.1</v>
      </c>
      <c r="AE27" s="50" t="str">
        <f t="shared" si="7"/>
        <v/>
      </c>
      <c r="AF27" s="50" t="str">
        <f t="shared" si="7"/>
        <v/>
      </c>
      <c r="AG27" s="50" t="str">
        <f t="shared" si="7"/>
        <v/>
      </c>
      <c r="AH27" s="50" t="str">
        <f t="shared" si="7"/>
        <v/>
      </c>
      <c r="AI27" s="50" t="str">
        <f t="shared" si="7"/>
        <v/>
      </c>
      <c r="AJ27" s="50" t="str">
        <f t="shared" si="7"/>
        <v/>
      </c>
      <c r="AK27" s="50" t="str">
        <f t="shared" si="7"/>
        <v/>
      </c>
      <c r="AL27" s="57" t="str">
        <f t="shared" si="7"/>
        <v/>
      </c>
      <c r="AM27" s="9"/>
    </row>
    <row r="28" spans="1:39" ht="24.95" customHeight="1" x14ac:dyDescent="0.2">
      <c r="A28" s="8"/>
      <c r="B28" s="13" t="s">
        <v>13</v>
      </c>
      <c r="C28" s="15" t="s">
        <v>11</v>
      </c>
      <c r="D28" s="51">
        <f>IFERROR(MIN(D13:D24),"")</f>
        <v>5.4242551559466721</v>
      </c>
      <c r="E28" s="51">
        <f t="shared" ref="E28:S28" si="8">IFERROR(MIN(E13:E24),"")</f>
        <v>15.736895742871575</v>
      </c>
      <c r="F28" s="51">
        <f t="shared" si="8"/>
        <v>30.757548819497657</v>
      </c>
      <c r="G28" s="51">
        <f t="shared" si="8"/>
        <v>46.951106784380855</v>
      </c>
      <c r="H28" s="51">
        <f t="shared" si="8"/>
        <v>74.621661773077463</v>
      </c>
      <c r="I28" s="51">
        <f t="shared" si="8"/>
        <v>93.593417667335842</v>
      </c>
      <c r="J28" s="51">
        <f t="shared" si="8"/>
        <v>103.40311412952533</v>
      </c>
      <c r="K28" s="51">
        <f t="shared" si="8"/>
        <v>111.23737184082772</v>
      </c>
      <c r="L28" s="50">
        <f t="shared" si="8"/>
        <v>0</v>
      </c>
      <c r="M28" s="50">
        <f t="shared" si="8"/>
        <v>0</v>
      </c>
      <c r="N28" s="50">
        <f t="shared" si="8"/>
        <v>0</v>
      </c>
      <c r="O28" s="50">
        <f t="shared" si="8"/>
        <v>0</v>
      </c>
      <c r="P28" s="50">
        <f t="shared" si="8"/>
        <v>0</v>
      </c>
      <c r="Q28" s="51">
        <f t="shared" si="8"/>
        <v>0</v>
      </c>
      <c r="R28" s="51">
        <f t="shared" si="8"/>
        <v>0</v>
      </c>
      <c r="S28" s="58">
        <f t="shared" si="8"/>
        <v>0</v>
      </c>
      <c r="T28" s="10"/>
      <c r="U28" s="13" t="s">
        <v>13</v>
      </c>
      <c r="V28" s="15" t="s">
        <v>11</v>
      </c>
      <c r="W28" s="51">
        <f>IFERROR(MIN(W13:W24),"")</f>
        <v>6.6403714127678075</v>
      </c>
      <c r="X28" s="51">
        <f t="shared" ref="X28:AL28" si="9">IFERROR(MIN(X13:X24),"")</f>
        <v>21.916647502851198</v>
      </c>
      <c r="Y28" s="51">
        <f t="shared" si="9"/>
        <v>37.33635404731605</v>
      </c>
      <c r="Z28" s="51">
        <f t="shared" si="9"/>
        <v>56.463028946058024</v>
      </c>
      <c r="AA28" s="51">
        <f t="shared" si="9"/>
        <v>85.277741882588671</v>
      </c>
      <c r="AB28" s="51">
        <f t="shared" si="9"/>
        <v>100.52079776174999</v>
      </c>
      <c r="AC28" s="51">
        <f t="shared" si="9"/>
        <v>108.97901868471402</v>
      </c>
      <c r="AD28" s="51">
        <f t="shared" si="9"/>
        <v>110.93261107562577</v>
      </c>
      <c r="AE28" s="50">
        <f t="shared" si="9"/>
        <v>0</v>
      </c>
      <c r="AF28" s="50">
        <f t="shared" si="9"/>
        <v>0</v>
      </c>
      <c r="AG28" s="50">
        <f t="shared" si="9"/>
        <v>0</v>
      </c>
      <c r="AH28" s="50">
        <f t="shared" si="9"/>
        <v>0</v>
      </c>
      <c r="AI28" s="50">
        <f t="shared" si="9"/>
        <v>0</v>
      </c>
      <c r="AJ28" s="51">
        <f t="shared" si="9"/>
        <v>0</v>
      </c>
      <c r="AK28" s="51">
        <f t="shared" si="9"/>
        <v>0</v>
      </c>
      <c r="AL28" s="58">
        <f t="shared" si="9"/>
        <v>0</v>
      </c>
      <c r="AM28" s="9"/>
    </row>
    <row r="29" spans="1:39" ht="24.95" customHeight="1" thickBot="1" x14ac:dyDescent="0.25">
      <c r="A29" s="8"/>
      <c r="B29" s="16" t="s">
        <v>14</v>
      </c>
      <c r="C29" s="17" t="s">
        <v>11</v>
      </c>
      <c r="D29" s="52">
        <f>IFERROR(MAX(D13:D24),"")</f>
        <v>10.673441136030783</v>
      </c>
      <c r="E29" s="52">
        <f t="shared" ref="E29:S29" si="10">IFERROR(MAX(E13:E24),"")</f>
        <v>25.944454803737152</v>
      </c>
      <c r="F29" s="52">
        <f t="shared" si="10"/>
        <v>44.892217750371309</v>
      </c>
      <c r="G29" s="52">
        <f t="shared" si="10"/>
        <v>62.635843046940956</v>
      </c>
      <c r="H29" s="52">
        <f t="shared" si="10"/>
        <v>89.423482862962501</v>
      </c>
      <c r="I29" s="52">
        <f t="shared" si="10"/>
        <v>104.87790653451452</v>
      </c>
      <c r="J29" s="52">
        <f t="shared" si="10"/>
        <v>115.46831483424297</v>
      </c>
      <c r="K29" s="52">
        <f t="shared" si="10"/>
        <v>118.62887111662826</v>
      </c>
      <c r="L29" s="107">
        <f t="shared" si="10"/>
        <v>0</v>
      </c>
      <c r="M29" s="107">
        <f t="shared" si="10"/>
        <v>0</v>
      </c>
      <c r="N29" s="107">
        <f t="shared" si="10"/>
        <v>0</v>
      </c>
      <c r="O29" s="107">
        <f t="shared" si="10"/>
        <v>0</v>
      </c>
      <c r="P29" s="107">
        <f t="shared" si="10"/>
        <v>0</v>
      </c>
      <c r="Q29" s="52">
        <f t="shared" si="10"/>
        <v>0</v>
      </c>
      <c r="R29" s="52">
        <f t="shared" si="10"/>
        <v>0</v>
      </c>
      <c r="S29" s="59">
        <f t="shared" si="10"/>
        <v>0</v>
      </c>
      <c r="T29" s="10"/>
      <c r="U29" s="16" t="s">
        <v>14</v>
      </c>
      <c r="V29" s="17" t="s">
        <v>11</v>
      </c>
      <c r="W29" s="52">
        <f>IFERROR(MAX(W13:W24),"")</f>
        <v>10.946513282577202</v>
      </c>
      <c r="X29" s="52">
        <f t="shared" ref="X29:AL29" si="11">IFERROR(MAX(X13:X24),"")</f>
        <v>24.509115619186556</v>
      </c>
      <c r="Y29" s="52">
        <f t="shared" si="11"/>
        <v>44.235961809008295</v>
      </c>
      <c r="Z29" s="52">
        <f t="shared" si="11"/>
        <v>60.137003614698997</v>
      </c>
      <c r="AA29" s="52">
        <f t="shared" si="11"/>
        <v>92.286714185035279</v>
      </c>
      <c r="AB29" s="52">
        <f t="shared" si="11"/>
        <v>107.68570250582636</v>
      </c>
      <c r="AC29" s="52">
        <f t="shared" si="11"/>
        <v>113.10082598543673</v>
      </c>
      <c r="AD29" s="52">
        <f t="shared" si="11"/>
        <v>118.7029580984689</v>
      </c>
      <c r="AE29" s="107">
        <f t="shared" si="11"/>
        <v>0</v>
      </c>
      <c r="AF29" s="107">
        <f t="shared" si="11"/>
        <v>0</v>
      </c>
      <c r="AG29" s="107">
        <f t="shared" si="11"/>
        <v>0</v>
      </c>
      <c r="AH29" s="107">
        <f t="shared" si="11"/>
        <v>0</v>
      </c>
      <c r="AI29" s="107">
        <f t="shared" si="11"/>
        <v>0</v>
      </c>
      <c r="AJ29" s="52">
        <f t="shared" si="11"/>
        <v>0</v>
      </c>
      <c r="AK29" s="52">
        <f t="shared" si="11"/>
        <v>0</v>
      </c>
      <c r="AL29" s="59">
        <f t="shared" si="11"/>
        <v>0</v>
      </c>
      <c r="AM29" s="9"/>
    </row>
    <row r="30" spans="1:39" ht="24.95" customHeight="1" thickBot="1" x14ac:dyDescent="0.25">
      <c r="A30" s="8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1"/>
      <c r="O30" s="64"/>
      <c r="P30" s="67"/>
      <c r="Q30" s="68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9"/>
    </row>
    <row r="31" spans="1:39" ht="24.95" customHeight="1" x14ac:dyDescent="0.2">
      <c r="A31" s="8"/>
      <c r="B31" s="141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3"/>
      <c r="Q31" s="65"/>
      <c r="R31" s="150" t="s">
        <v>15</v>
      </c>
      <c r="S31" s="151"/>
      <c r="T31" s="151"/>
      <c r="U31" s="151"/>
      <c r="V31" s="152"/>
      <c r="W31" s="1"/>
      <c r="X31" s="150" t="s">
        <v>32</v>
      </c>
      <c r="Y31" s="151"/>
      <c r="Z31" s="151"/>
      <c r="AA31" s="151"/>
      <c r="AB31" s="151"/>
      <c r="AC31" s="152"/>
      <c r="AD31" s="10"/>
      <c r="AE31" s="18" t="s">
        <v>16</v>
      </c>
      <c r="AF31" s="19">
        <f>COUNT(X36:X51)</f>
        <v>5</v>
      </c>
      <c r="AG31" s="10"/>
      <c r="AH31" s="10"/>
      <c r="AI31" s="10"/>
      <c r="AJ31" s="116" t="s">
        <v>33</v>
      </c>
      <c r="AK31" s="117"/>
      <c r="AL31" s="45">
        <f>SUM(AA36:AA51)</f>
        <v>13</v>
      </c>
      <c r="AM31" s="20"/>
    </row>
    <row r="32" spans="1:39" ht="24.95" customHeight="1" x14ac:dyDescent="0.2">
      <c r="A32" s="8"/>
      <c r="B32" s="144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6"/>
      <c r="Q32" s="65"/>
      <c r="R32" s="153"/>
      <c r="S32" s="154"/>
      <c r="T32" s="154"/>
      <c r="U32" s="154"/>
      <c r="V32" s="155"/>
      <c r="W32" s="1"/>
      <c r="X32" s="153"/>
      <c r="Y32" s="154"/>
      <c r="Z32" s="154"/>
      <c r="AA32" s="154"/>
      <c r="AB32" s="154"/>
      <c r="AC32" s="155"/>
      <c r="AD32" s="10"/>
      <c r="AE32" s="10"/>
      <c r="AF32" s="21"/>
      <c r="AG32" s="22"/>
      <c r="AH32" s="10"/>
      <c r="AI32" s="10"/>
      <c r="AJ32" s="116" t="s">
        <v>17</v>
      </c>
      <c r="AK32" s="117"/>
      <c r="AL32" s="44">
        <f>SUM(Z36:Z51)</f>
        <v>220</v>
      </c>
      <c r="AM32" s="20"/>
    </row>
    <row r="33" spans="1:39" ht="24.95" customHeight="1" x14ac:dyDescent="0.2">
      <c r="A33" s="8"/>
      <c r="B33" s="144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6"/>
      <c r="Q33" s="10"/>
      <c r="R33" s="23" t="s">
        <v>18</v>
      </c>
      <c r="S33" s="25" t="s">
        <v>35</v>
      </c>
      <c r="T33" s="25" t="s">
        <v>35</v>
      </c>
      <c r="U33" s="24" t="s">
        <v>34</v>
      </c>
      <c r="V33" s="24" t="s">
        <v>34</v>
      </c>
      <c r="W33" s="1"/>
      <c r="X33" s="23" t="s">
        <v>18</v>
      </c>
      <c r="Y33" s="25" t="s">
        <v>35</v>
      </c>
      <c r="Z33" s="24" t="s">
        <v>34</v>
      </c>
      <c r="AA33" s="156" t="s">
        <v>36</v>
      </c>
      <c r="AB33" s="150" t="s">
        <v>37</v>
      </c>
      <c r="AC33" s="152"/>
      <c r="AD33" s="10"/>
      <c r="AE33" s="10"/>
      <c r="AF33" s="10"/>
      <c r="AG33" s="10"/>
      <c r="AH33" s="10"/>
      <c r="AI33" s="10"/>
      <c r="AJ33" s="10"/>
      <c r="AK33" s="159" t="s">
        <v>38</v>
      </c>
      <c r="AL33" s="136">
        <f>IF(AL31/AL32*100&gt;0,AL31/AL32*100,0-(AL31/AL32*100))</f>
        <v>5.9090909090909092</v>
      </c>
      <c r="AM33" s="9"/>
    </row>
    <row r="34" spans="1:39" ht="24.95" customHeight="1" x14ac:dyDescent="0.2">
      <c r="A34" s="8"/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6"/>
      <c r="Q34" s="10"/>
      <c r="R34" s="26" t="str">
        <f>K11</f>
        <v>Hr</v>
      </c>
      <c r="S34" s="91" t="str">
        <f>D8</f>
        <v>ES20E049</v>
      </c>
      <c r="T34" s="92" t="str">
        <f>S34</f>
        <v>ES20E049</v>
      </c>
      <c r="U34" s="92" t="str">
        <f>W8</f>
        <v>026455D</v>
      </c>
      <c r="V34" s="92" t="str">
        <f>U34</f>
        <v>026455D</v>
      </c>
      <c r="W34" s="2"/>
      <c r="X34" s="27" t="str">
        <f>K11</f>
        <v>Hr</v>
      </c>
      <c r="Y34" s="91" t="str">
        <f>S34</f>
        <v>ES20E049</v>
      </c>
      <c r="Z34" s="92" t="str">
        <f>U34</f>
        <v>026455D</v>
      </c>
      <c r="AA34" s="157"/>
      <c r="AB34" s="158"/>
      <c r="AC34" s="155"/>
      <c r="AD34" s="10"/>
      <c r="AE34" s="10"/>
      <c r="AF34" s="10"/>
      <c r="AG34" s="10"/>
      <c r="AH34" s="10"/>
      <c r="AI34" s="10"/>
      <c r="AJ34" s="10"/>
      <c r="AK34" s="160"/>
      <c r="AL34" s="137"/>
      <c r="AM34" s="9"/>
    </row>
    <row r="35" spans="1:39" ht="24.95" customHeight="1" x14ac:dyDescent="0.2">
      <c r="A35" s="8"/>
      <c r="B35" s="144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6"/>
      <c r="Q35" s="10"/>
      <c r="R35" s="28">
        <v>0</v>
      </c>
      <c r="S35" s="28">
        <v>0</v>
      </c>
      <c r="T35" s="29" t="s">
        <v>19</v>
      </c>
      <c r="U35" s="28">
        <v>0</v>
      </c>
      <c r="V35" s="29" t="s">
        <v>19</v>
      </c>
      <c r="W35" s="1"/>
      <c r="X35" s="26">
        <v>0</v>
      </c>
      <c r="Y35" s="28">
        <v>0</v>
      </c>
      <c r="Z35" s="28">
        <v>0</v>
      </c>
      <c r="AA35" s="116"/>
      <c r="AB35" s="138"/>
      <c r="AC35" s="117"/>
      <c r="AD35" s="10"/>
      <c r="AE35" s="116" t="s">
        <v>39</v>
      </c>
      <c r="AF35" s="138"/>
      <c r="AG35" s="117"/>
      <c r="AH35" s="139">
        <f>SUM(AB36:AB51)</f>
        <v>41</v>
      </c>
      <c r="AI35" s="139"/>
      <c r="AJ35" s="3"/>
      <c r="AK35" s="10"/>
      <c r="AL35" s="10"/>
      <c r="AM35" s="9"/>
    </row>
    <row r="36" spans="1:39" ht="24.95" customHeight="1" x14ac:dyDescent="0.2">
      <c r="A36" s="8"/>
      <c r="B36" s="144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6"/>
      <c r="Q36" s="10"/>
      <c r="R36" s="28">
        <f>IFERROR((D12), "")</f>
        <v>1</v>
      </c>
      <c r="S36" s="30">
        <f>IFERROR((D25), "")</f>
        <v>7.1</v>
      </c>
      <c r="T36" s="31">
        <f>D27</f>
        <v>21.1</v>
      </c>
      <c r="U36" s="30">
        <f>IFERROR((W25), "")</f>
        <v>8.5</v>
      </c>
      <c r="V36" s="31">
        <f>W27</f>
        <v>17.600000000000001</v>
      </c>
      <c r="W36" s="1"/>
      <c r="X36" s="93">
        <v>1</v>
      </c>
      <c r="Y36" s="78">
        <v>7</v>
      </c>
      <c r="Z36" s="78">
        <v>9</v>
      </c>
      <c r="AA36" s="45">
        <f>IF(Z36-Y36&gt;0,Z36-Y36,0-(Z36-Y36))</f>
        <v>2</v>
      </c>
      <c r="AB36" s="116">
        <f>AA36^2</f>
        <v>4</v>
      </c>
      <c r="AC36" s="117"/>
      <c r="AD36" s="10"/>
      <c r="AE36" s="116" t="s">
        <v>40</v>
      </c>
      <c r="AF36" s="138"/>
      <c r="AG36" s="117"/>
      <c r="AH36" s="140">
        <f>AH35/AF31</f>
        <v>8.1999999999999993</v>
      </c>
      <c r="AI36" s="140"/>
      <c r="AJ36" s="46"/>
      <c r="AK36" s="3"/>
      <c r="AL36" s="4"/>
      <c r="AM36" s="9"/>
    </row>
    <row r="37" spans="1:39" ht="24.95" customHeight="1" x14ac:dyDescent="0.2">
      <c r="A37" s="8"/>
      <c r="B37" s="144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6"/>
      <c r="Q37" s="10"/>
      <c r="R37" s="28">
        <f>IFERROR((E12), "")</f>
        <v>2</v>
      </c>
      <c r="S37" s="30">
        <f>IFERROR((E25), "")</f>
        <v>21</v>
      </c>
      <c r="T37" s="31">
        <f>E27</f>
        <v>14.8</v>
      </c>
      <c r="U37" s="30">
        <f>IFERROR((X25), "")</f>
        <v>23</v>
      </c>
      <c r="V37" s="31">
        <f>X27</f>
        <v>3.9</v>
      </c>
      <c r="W37" s="1"/>
      <c r="X37" s="78">
        <v>2</v>
      </c>
      <c r="Y37" s="78">
        <v>21</v>
      </c>
      <c r="Z37" s="78">
        <v>23</v>
      </c>
      <c r="AA37" s="45">
        <f t="shared" ref="AA37:AA51" si="12">IF(Z37-Y37&gt;0,Z37-Y37,0-(Z37-Y37))</f>
        <v>2</v>
      </c>
      <c r="AB37" s="116">
        <f t="shared" ref="AB37:AB46" si="13">AA37^2</f>
        <v>4</v>
      </c>
      <c r="AC37" s="117"/>
      <c r="AD37" s="10"/>
      <c r="AE37" s="116" t="s">
        <v>41</v>
      </c>
      <c r="AF37" s="138"/>
      <c r="AG37" s="117"/>
      <c r="AH37" s="140">
        <f>1+AH36</f>
        <v>9.1999999999999993</v>
      </c>
      <c r="AI37" s="140"/>
      <c r="AJ37" s="46"/>
      <c r="AK37" s="3"/>
      <c r="AL37" s="4"/>
      <c r="AM37" s="9"/>
    </row>
    <row r="38" spans="1:39" ht="24.95" customHeight="1" x14ac:dyDescent="0.2">
      <c r="A38" s="8"/>
      <c r="B38" s="144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6"/>
      <c r="Q38" s="10"/>
      <c r="R38" s="28">
        <f>IFERROR((F12), "")</f>
        <v>3</v>
      </c>
      <c r="S38" s="30">
        <f>IFERROR((F25), "")</f>
        <v>38.5</v>
      </c>
      <c r="T38" s="31">
        <f>F27</f>
        <v>11.2</v>
      </c>
      <c r="U38" s="30">
        <f>IFERROR((Y25), "")</f>
        <v>41.2</v>
      </c>
      <c r="V38" s="31">
        <f>Y27</f>
        <v>5.0999999999999996</v>
      </c>
      <c r="W38" s="1"/>
      <c r="X38" s="78">
        <v>3</v>
      </c>
      <c r="Y38" s="78">
        <v>39</v>
      </c>
      <c r="Z38" s="78">
        <v>41</v>
      </c>
      <c r="AA38" s="45">
        <f t="shared" si="12"/>
        <v>2</v>
      </c>
      <c r="AB38" s="116">
        <f t="shared" si="13"/>
        <v>4</v>
      </c>
      <c r="AC38" s="117"/>
      <c r="AD38" s="10"/>
      <c r="AE38" s="133" t="s">
        <v>20</v>
      </c>
      <c r="AF38" s="133"/>
      <c r="AG38" s="133"/>
      <c r="AH38" s="135">
        <f>SQRT(AH37)</f>
        <v>3.03315017762062</v>
      </c>
      <c r="AI38" s="135"/>
      <c r="AJ38" s="46"/>
      <c r="AK38" s="1"/>
      <c r="AL38" s="10"/>
      <c r="AM38" s="9"/>
    </row>
    <row r="39" spans="1:39" ht="24.95" customHeight="1" x14ac:dyDescent="0.2">
      <c r="A39" s="8"/>
      <c r="B39" s="144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6"/>
      <c r="Q39" s="10"/>
      <c r="R39" s="28">
        <f>IFERROR((G12), "")</f>
        <v>4</v>
      </c>
      <c r="S39" s="30">
        <f>IFERROR((G25), "")</f>
        <v>55.9</v>
      </c>
      <c r="T39" s="31">
        <f>G27</f>
        <v>8.9</v>
      </c>
      <c r="U39" s="30">
        <f>IFERROR((Z25), "")</f>
        <v>58.2</v>
      </c>
      <c r="V39" s="31">
        <f>Z27</f>
        <v>2.2000000000000002</v>
      </c>
      <c r="W39" s="1"/>
      <c r="X39" s="78">
        <v>4</v>
      </c>
      <c r="Y39" s="78">
        <v>56</v>
      </c>
      <c r="Z39" s="78">
        <v>58</v>
      </c>
      <c r="AA39" s="45">
        <f t="shared" si="12"/>
        <v>2</v>
      </c>
      <c r="AB39" s="116">
        <f t="shared" si="13"/>
        <v>4</v>
      </c>
      <c r="AC39" s="117"/>
      <c r="AD39" s="10"/>
      <c r="AE39" s="133"/>
      <c r="AF39" s="133"/>
      <c r="AG39" s="133"/>
      <c r="AH39" s="135"/>
      <c r="AI39" s="135"/>
      <c r="AJ39" s="46"/>
      <c r="AK39" s="1"/>
      <c r="AL39" s="10"/>
      <c r="AM39" s="9"/>
    </row>
    <row r="40" spans="1:39" ht="24.95" customHeight="1" x14ac:dyDescent="0.2">
      <c r="A40" s="8"/>
      <c r="B40" s="144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6"/>
      <c r="Q40" s="10"/>
      <c r="R40" s="28">
        <f>IFERROR((H12), "")</f>
        <v>6</v>
      </c>
      <c r="S40" s="30">
        <f>IFERROR((H25), "")</f>
        <v>83.8</v>
      </c>
      <c r="T40" s="31">
        <f>H27</f>
        <v>5.5</v>
      </c>
      <c r="U40" s="30">
        <f>IFERROR((AA25), "")</f>
        <v>88.7</v>
      </c>
      <c r="V40" s="31">
        <f>AA27</f>
        <v>2.9</v>
      </c>
      <c r="W40" s="1"/>
      <c r="X40" s="78">
        <v>6</v>
      </c>
      <c r="Y40" s="78">
        <v>84</v>
      </c>
      <c r="Z40" s="78">
        <v>89</v>
      </c>
      <c r="AA40" s="45">
        <f t="shared" si="12"/>
        <v>5</v>
      </c>
      <c r="AB40" s="116">
        <f t="shared" si="13"/>
        <v>25</v>
      </c>
      <c r="AC40" s="117"/>
      <c r="AD40" s="10"/>
      <c r="AE40" s="134"/>
      <c r="AF40" s="134"/>
      <c r="AG40" s="134"/>
      <c r="AH40" s="135"/>
      <c r="AI40" s="135"/>
      <c r="AJ40" s="46"/>
      <c r="AK40" s="1"/>
      <c r="AL40" s="1"/>
      <c r="AM40" s="20"/>
    </row>
    <row r="41" spans="1:39" ht="24.95" customHeight="1" x14ac:dyDescent="0.2">
      <c r="A41" s="8"/>
      <c r="B41" s="144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6"/>
      <c r="Q41" s="10"/>
      <c r="R41" s="28">
        <f>IFERROR((I12), "")</f>
        <v>8</v>
      </c>
      <c r="S41" s="30">
        <f>IFERROR((I25), "")</f>
        <v>100.7</v>
      </c>
      <c r="T41" s="31">
        <f>I27</f>
        <v>3.9</v>
      </c>
      <c r="U41" s="30">
        <f>IFERROR((AB25), "")</f>
        <v>104.1</v>
      </c>
      <c r="V41" s="31">
        <f>AB27</f>
        <v>2.2000000000000002</v>
      </c>
      <c r="W41" s="1"/>
      <c r="X41" s="78"/>
      <c r="Y41" s="78"/>
      <c r="Z41" s="78"/>
      <c r="AA41" s="45">
        <f t="shared" si="12"/>
        <v>0</v>
      </c>
      <c r="AB41" s="116">
        <f t="shared" si="13"/>
        <v>0</v>
      </c>
      <c r="AC41" s="117"/>
      <c r="AD41" s="10"/>
      <c r="AE41" s="126">
        <v>100</v>
      </c>
      <c r="AF41" s="122"/>
      <c r="AG41" s="127"/>
      <c r="AH41" s="161">
        <f>100/AH38</f>
        <v>32.969023669789351</v>
      </c>
      <c r="AI41" s="135"/>
      <c r="AJ41" s="46"/>
      <c r="AK41" s="1"/>
      <c r="AL41" s="1"/>
      <c r="AM41" s="20"/>
    </row>
    <row r="42" spans="1:39" ht="24.95" customHeight="1" x14ac:dyDescent="0.2">
      <c r="A42" s="8"/>
      <c r="B42" s="144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6"/>
      <c r="Q42" s="10"/>
      <c r="R42" s="28">
        <f>IFERROR((J12), "")</f>
        <v>10</v>
      </c>
      <c r="S42" s="30">
        <f>IFERROR((J25), "")</f>
        <v>110.9</v>
      </c>
      <c r="T42" s="31">
        <f>J27</f>
        <v>3.2</v>
      </c>
      <c r="U42" s="30">
        <f>IFERROR((AC25), "")</f>
        <v>111.2</v>
      </c>
      <c r="V42" s="31">
        <f>AC27</f>
        <v>1.3</v>
      </c>
      <c r="W42" s="1"/>
      <c r="X42" s="78"/>
      <c r="Y42" s="78"/>
      <c r="Z42" s="78"/>
      <c r="AA42" s="45">
        <f t="shared" si="12"/>
        <v>0</v>
      </c>
      <c r="AB42" s="116">
        <f t="shared" si="13"/>
        <v>0</v>
      </c>
      <c r="AC42" s="117"/>
      <c r="AD42" s="10"/>
      <c r="AE42" s="130" t="s">
        <v>20</v>
      </c>
      <c r="AF42" s="131"/>
      <c r="AG42" s="132"/>
      <c r="AH42" s="161"/>
      <c r="AI42" s="135"/>
      <c r="AJ42" s="46"/>
      <c r="AK42" s="1"/>
      <c r="AL42" s="1"/>
      <c r="AM42" s="20"/>
    </row>
    <row r="43" spans="1:39" ht="24.95" customHeight="1" x14ac:dyDescent="0.2">
      <c r="A43" s="8"/>
      <c r="B43" s="144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6"/>
      <c r="Q43" s="10"/>
      <c r="R43" s="28">
        <f>IFERROR((K12), "")</f>
        <v>12</v>
      </c>
      <c r="S43" s="30">
        <f>IFERROR((K25), "")</f>
        <v>115.6</v>
      </c>
      <c r="T43" s="31">
        <f>K27</f>
        <v>2.1</v>
      </c>
      <c r="U43" s="30">
        <f>IFERROR((AD25), "")</f>
        <v>114.9</v>
      </c>
      <c r="V43" s="31">
        <f>AD27</f>
        <v>2.1</v>
      </c>
      <c r="W43" s="1"/>
      <c r="X43" s="78"/>
      <c r="Y43" s="78"/>
      <c r="Z43" s="78"/>
      <c r="AA43" s="45">
        <f t="shared" si="12"/>
        <v>0</v>
      </c>
      <c r="AB43" s="116">
        <f t="shared" si="13"/>
        <v>0</v>
      </c>
      <c r="AC43" s="117"/>
      <c r="AD43" s="10"/>
      <c r="AE43" s="162"/>
      <c r="AF43" s="163"/>
      <c r="AG43" s="164"/>
      <c r="AH43" s="161"/>
      <c r="AI43" s="135"/>
      <c r="AJ43" s="46"/>
      <c r="AK43" s="1"/>
      <c r="AL43" s="1"/>
      <c r="AM43" s="20"/>
    </row>
    <row r="44" spans="1:39" ht="24.95" customHeight="1" x14ac:dyDescent="0.2">
      <c r="A44" s="8"/>
      <c r="B44" s="144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6"/>
      <c r="Q44" s="10"/>
      <c r="R44" s="28">
        <f>IFERROR((L12), "")</f>
        <v>0</v>
      </c>
      <c r="S44" s="30" t="str">
        <f>IFERROR((L25), "")</f>
        <v/>
      </c>
      <c r="T44" s="31" t="str">
        <f>L27</f>
        <v/>
      </c>
      <c r="U44" s="30" t="str">
        <f>IFERROR((AE25), "")</f>
        <v/>
      </c>
      <c r="V44" s="31" t="str">
        <f>AE27</f>
        <v/>
      </c>
      <c r="W44" s="1"/>
      <c r="X44" s="78"/>
      <c r="Y44" s="78"/>
      <c r="Z44" s="78"/>
      <c r="AA44" s="45">
        <f t="shared" si="12"/>
        <v>0</v>
      </c>
      <c r="AB44" s="116">
        <f t="shared" si="13"/>
        <v>0</v>
      </c>
      <c r="AC44" s="117"/>
      <c r="AD44" s="10"/>
      <c r="AE44" s="126">
        <v>100</v>
      </c>
      <c r="AF44" s="122"/>
      <c r="AG44" s="127"/>
      <c r="AH44" s="128">
        <f>LOG10(AH41)</f>
        <v>1.5181060863272224</v>
      </c>
      <c r="AI44" s="128"/>
      <c r="AJ44" s="46"/>
      <c r="AK44" s="1"/>
      <c r="AL44" s="1"/>
      <c r="AM44" s="20"/>
    </row>
    <row r="45" spans="1:39" ht="24.95" customHeight="1" thickBot="1" x14ac:dyDescent="0.25">
      <c r="A45" s="8"/>
      <c r="B45" s="147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9"/>
      <c r="Q45" s="10"/>
      <c r="R45" s="28">
        <f>IFERROR((M12), "")</f>
        <v>0</v>
      </c>
      <c r="S45" s="30" t="str">
        <f>IFERROR((M25), "")</f>
        <v/>
      </c>
      <c r="T45" s="31" t="str">
        <f>M27</f>
        <v/>
      </c>
      <c r="U45" s="30" t="str">
        <f>IFERROR((AF25), "")</f>
        <v/>
      </c>
      <c r="V45" s="31" t="str">
        <f>AF27</f>
        <v/>
      </c>
      <c r="W45" s="1"/>
      <c r="X45" s="78"/>
      <c r="Y45" s="78"/>
      <c r="Z45" s="78"/>
      <c r="AA45" s="45">
        <f t="shared" si="12"/>
        <v>0</v>
      </c>
      <c r="AB45" s="116">
        <f t="shared" si="13"/>
        <v>0</v>
      </c>
      <c r="AC45" s="117"/>
      <c r="AD45" s="10"/>
      <c r="AE45" s="130" t="s">
        <v>21</v>
      </c>
      <c r="AF45" s="131"/>
      <c r="AG45" s="132"/>
      <c r="AH45" s="128"/>
      <c r="AI45" s="128"/>
      <c r="AJ45" s="46"/>
      <c r="AK45" s="1"/>
      <c r="AL45" s="1"/>
      <c r="AM45" s="20"/>
    </row>
    <row r="46" spans="1:39" ht="24.95" customHeight="1" x14ac:dyDescent="0.2">
      <c r="A46" s="8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10"/>
      <c r="R46" s="28">
        <f>IFERROR((N12), "")</f>
        <v>0</v>
      </c>
      <c r="S46" s="30" t="str">
        <f>IFERROR((N25), "")</f>
        <v/>
      </c>
      <c r="T46" s="31" t="str">
        <f>N27</f>
        <v/>
      </c>
      <c r="U46" s="30" t="str">
        <f>IFERROR((AG25), "")</f>
        <v/>
      </c>
      <c r="V46" s="31" t="str">
        <f>AG27</f>
        <v/>
      </c>
      <c r="W46" s="1"/>
      <c r="X46" s="78"/>
      <c r="Y46" s="78"/>
      <c r="Z46" s="78"/>
      <c r="AA46" s="45">
        <f t="shared" si="12"/>
        <v>0</v>
      </c>
      <c r="AB46" s="116">
        <f t="shared" si="13"/>
        <v>0</v>
      </c>
      <c r="AC46" s="117"/>
      <c r="AD46" s="10"/>
      <c r="AE46" s="130"/>
      <c r="AF46" s="131"/>
      <c r="AG46" s="132"/>
      <c r="AH46" s="129"/>
      <c r="AI46" s="129"/>
      <c r="AJ46" s="46"/>
      <c r="AK46" s="1"/>
      <c r="AL46" s="1"/>
      <c r="AM46" s="20"/>
    </row>
    <row r="47" spans="1:39" ht="24.95" customHeight="1" x14ac:dyDescent="0.2">
      <c r="A47" s="8"/>
      <c r="B47" s="118" t="s">
        <v>42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32"/>
      <c r="N47" s="32"/>
      <c r="O47" s="32"/>
      <c r="P47" s="32"/>
      <c r="Q47" s="10"/>
      <c r="R47" s="28">
        <f>IFERROR((O12), "")</f>
        <v>0</v>
      </c>
      <c r="S47" s="30" t="str">
        <f>IFERROR((O25), "")</f>
        <v/>
      </c>
      <c r="T47" s="31" t="str">
        <f>O27</f>
        <v/>
      </c>
      <c r="U47" s="30" t="str">
        <f>IFERROR((AH25), "")</f>
        <v/>
      </c>
      <c r="V47" s="31" t="str">
        <f>AH27</f>
        <v/>
      </c>
      <c r="W47" s="1"/>
      <c r="X47" s="78"/>
      <c r="Y47" s="78"/>
      <c r="Z47" s="78"/>
      <c r="AA47" s="45">
        <f t="shared" si="12"/>
        <v>0</v>
      </c>
      <c r="AB47" s="116">
        <f>AA47^2</f>
        <v>0</v>
      </c>
      <c r="AC47" s="117"/>
      <c r="AD47" s="10"/>
      <c r="AE47" s="33"/>
      <c r="AF47" s="34"/>
      <c r="AG47" s="122">
        <v>100</v>
      </c>
      <c r="AH47" s="122"/>
      <c r="AI47" s="35"/>
      <c r="AJ47" s="46"/>
      <c r="AK47" s="1"/>
      <c r="AL47" s="1"/>
      <c r="AM47" s="20"/>
    </row>
    <row r="48" spans="1:39" ht="24.95" customHeight="1" x14ac:dyDescent="0.2">
      <c r="A48" s="8"/>
      <c r="B48" s="36">
        <v>1</v>
      </c>
      <c r="C48" s="114" t="s">
        <v>22</v>
      </c>
      <c r="D48" s="114"/>
      <c r="E48" s="114"/>
      <c r="F48" s="114"/>
      <c r="G48" s="114"/>
      <c r="H48" s="114"/>
      <c r="I48" s="114"/>
      <c r="J48" s="114"/>
      <c r="K48" s="114"/>
      <c r="L48" s="114"/>
      <c r="M48" s="32"/>
      <c r="N48" s="32"/>
      <c r="O48" s="32"/>
      <c r="P48" s="32"/>
      <c r="Q48" s="10"/>
      <c r="R48" s="28">
        <f>IFERROR((P12), "")</f>
        <v>0</v>
      </c>
      <c r="S48" s="30" t="str">
        <f>IFERROR((P25), "")</f>
        <v/>
      </c>
      <c r="T48" s="31" t="str">
        <f>P27</f>
        <v/>
      </c>
      <c r="U48" s="30" t="str">
        <f>IFERROR((AI25), "")</f>
        <v/>
      </c>
      <c r="V48" s="31" t="str">
        <f>AI27</f>
        <v/>
      </c>
      <c r="W48" s="1"/>
      <c r="X48" s="79"/>
      <c r="Y48" s="78"/>
      <c r="Z48" s="78"/>
      <c r="AA48" s="45">
        <f t="shared" si="12"/>
        <v>0</v>
      </c>
      <c r="AB48" s="116">
        <f>AA48^2</f>
        <v>0</v>
      </c>
      <c r="AC48" s="117"/>
      <c r="AD48" s="10"/>
      <c r="AE48" s="123" t="s">
        <v>43</v>
      </c>
      <c r="AF48" s="124"/>
      <c r="AG48" s="124"/>
      <c r="AH48" s="124"/>
      <c r="AI48" s="125"/>
      <c r="AJ48" s="46"/>
      <c r="AK48" s="1"/>
      <c r="AL48" s="1"/>
      <c r="AM48" s="20"/>
    </row>
    <row r="49" spans="1:39" ht="24.95" customHeight="1" x14ac:dyDescent="0.2">
      <c r="A49" s="8"/>
      <c r="B49" s="36">
        <v>2</v>
      </c>
      <c r="C49" s="114" t="s">
        <v>23</v>
      </c>
      <c r="D49" s="114"/>
      <c r="E49" s="114"/>
      <c r="F49" s="114"/>
      <c r="G49" s="114"/>
      <c r="H49" s="114"/>
      <c r="I49" s="114"/>
      <c r="J49" s="114"/>
      <c r="K49" s="114"/>
      <c r="L49" s="115"/>
      <c r="M49" s="32"/>
      <c r="N49" s="32"/>
      <c r="O49" s="32"/>
      <c r="P49" s="32"/>
      <c r="Q49" s="10"/>
      <c r="R49" s="28">
        <f>IFERROR((Q12), "")</f>
        <v>0</v>
      </c>
      <c r="S49" s="30" t="str">
        <f>IFERROR((Q25), "")</f>
        <v/>
      </c>
      <c r="T49" s="31" t="str">
        <f>Q27</f>
        <v/>
      </c>
      <c r="U49" s="30" t="str">
        <f>IFERROR((AJ25), "")</f>
        <v/>
      </c>
      <c r="V49" s="31" t="str">
        <f>AJ27</f>
        <v/>
      </c>
      <c r="W49" s="1"/>
      <c r="X49" s="79"/>
      <c r="Y49" s="78"/>
      <c r="Z49" s="78"/>
      <c r="AA49" s="45">
        <f t="shared" si="12"/>
        <v>0</v>
      </c>
      <c r="AB49" s="116">
        <f>AA49^2</f>
        <v>0</v>
      </c>
      <c r="AC49" s="117"/>
      <c r="AD49" s="10"/>
      <c r="AE49" s="37"/>
      <c r="AF49" s="38"/>
      <c r="AG49" s="38"/>
      <c r="AH49" s="38"/>
      <c r="AI49" s="39"/>
      <c r="AJ49" s="46"/>
      <c r="AK49" s="1"/>
      <c r="AL49" s="1"/>
      <c r="AM49" s="20"/>
    </row>
    <row r="50" spans="1:39" ht="24.95" customHeight="1" x14ac:dyDescent="0.2">
      <c r="A50" s="8"/>
      <c r="B50" s="36">
        <v>3</v>
      </c>
      <c r="C50" s="114" t="s">
        <v>24</v>
      </c>
      <c r="D50" s="114"/>
      <c r="E50" s="114"/>
      <c r="F50" s="114"/>
      <c r="G50" s="114"/>
      <c r="H50" s="114"/>
      <c r="I50" s="114"/>
      <c r="J50" s="114"/>
      <c r="K50" s="114"/>
      <c r="L50" s="115"/>
      <c r="M50" s="32"/>
      <c r="N50" s="32"/>
      <c r="O50" s="32"/>
      <c r="P50" s="32"/>
      <c r="Q50" s="10"/>
      <c r="R50" s="28">
        <f>IFERROR((R12), "")</f>
        <v>0</v>
      </c>
      <c r="S50" s="30" t="str">
        <f>IFERROR((R25), "")</f>
        <v/>
      </c>
      <c r="T50" s="31" t="str">
        <f>R27</f>
        <v/>
      </c>
      <c r="U50" s="30" t="str">
        <f>IFERROR((AK25), "")</f>
        <v/>
      </c>
      <c r="V50" s="31" t="str">
        <f>AK27</f>
        <v/>
      </c>
      <c r="W50" s="1"/>
      <c r="X50" s="79"/>
      <c r="Y50" s="78"/>
      <c r="Z50" s="78"/>
      <c r="AA50" s="45">
        <f t="shared" si="12"/>
        <v>0</v>
      </c>
      <c r="AB50" s="116">
        <f>AA50^2</f>
        <v>0</v>
      </c>
      <c r="AC50" s="117"/>
      <c r="AD50" s="10"/>
      <c r="AE50" s="118" t="s">
        <v>44</v>
      </c>
      <c r="AF50" s="118"/>
      <c r="AG50" s="118"/>
      <c r="AH50" s="119">
        <f>50*AH44</f>
        <v>75.905304316361125</v>
      </c>
      <c r="AI50" s="119"/>
      <c r="AJ50" s="46"/>
      <c r="AK50" s="1"/>
      <c r="AL50" s="1"/>
      <c r="AM50" s="20"/>
    </row>
    <row r="51" spans="1:39" ht="24.95" customHeight="1" x14ac:dyDescent="0.2">
      <c r="A51" s="8"/>
      <c r="B51" s="36">
        <v>4</v>
      </c>
      <c r="C51" s="114" t="s">
        <v>25</v>
      </c>
      <c r="D51" s="114"/>
      <c r="E51" s="114"/>
      <c r="F51" s="114"/>
      <c r="G51" s="114"/>
      <c r="H51" s="114"/>
      <c r="I51" s="114"/>
      <c r="J51" s="114"/>
      <c r="K51" s="114"/>
      <c r="L51" s="115"/>
      <c r="M51" s="32"/>
      <c r="N51" s="32"/>
      <c r="O51" s="32"/>
      <c r="P51" s="32"/>
      <c r="Q51" s="10"/>
      <c r="R51" s="28">
        <f>IFERROR((S12), "")</f>
        <v>0</v>
      </c>
      <c r="S51" s="30" t="str">
        <f>IFERROR((S25), "")</f>
        <v/>
      </c>
      <c r="T51" s="31" t="str">
        <f>S27</f>
        <v/>
      </c>
      <c r="U51" s="30" t="str">
        <f>IFERROR((AL25), "")</f>
        <v/>
      </c>
      <c r="V51" s="31" t="str">
        <f>AL27</f>
        <v/>
      </c>
      <c r="W51" s="1"/>
      <c r="X51" s="79"/>
      <c r="Y51" s="78"/>
      <c r="Z51" s="78"/>
      <c r="AA51" s="45">
        <f t="shared" si="12"/>
        <v>0</v>
      </c>
      <c r="AB51" s="116">
        <f>AA51^2</f>
        <v>0</v>
      </c>
      <c r="AC51" s="117"/>
      <c r="AD51" s="10"/>
      <c r="AE51" s="118"/>
      <c r="AF51" s="118"/>
      <c r="AG51" s="118"/>
      <c r="AH51" s="120"/>
      <c r="AI51" s="120"/>
      <c r="AJ51" s="46"/>
      <c r="AK51" s="1"/>
      <c r="AL51" s="1"/>
      <c r="AM51" s="20"/>
    </row>
    <row r="52" spans="1:39" ht="24.95" customHeight="1" x14ac:dyDescent="0.2">
      <c r="A52" s="8"/>
      <c r="B52" s="36">
        <v>5</v>
      </c>
      <c r="C52" s="114" t="s">
        <v>26</v>
      </c>
      <c r="D52" s="114"/>
      <c r="E52" s="114"/>
      <c r="F52" s="114"/>
      <c r="G52" s="114"/>
      <c r="H52" s="114"/>
      <c r="I52" s="114"/>
      <c r="J52" s="114"/>
      <c r="K52" s="114"/>
      <c r="L52" s="115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9"/>
    </row>
    <row r="53" spans="1:39" ht="24.95" customHeight="1" x14ac:dyDescent="0.2">
      <c r="A53" s="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9"/>
    </row>
    <row r="54" spans="1:39" ht="24.95" customHeight="1" x14ac:dyDescent="0.2">
      <c r="A54" s="8"/>
      <c r="B54" s="40" t="s">
        <v>16</v>
      </c>
      <c r="C54" s="114" t="s">
        <v>27</v>
      </c>
      <c r="D54" s="114"/>
      <c r="E54" s="114"/>
      <c r="F54" s="114"/>
      <c r="G54" s="114"/>
      <c r="H54" s="114"/>
      <c r="I54" s="10"/>
      <c r="J54" s="121" t="s">
        <v>28</v>
      </c>
      <c r="K54" s="121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Y54" s="10"/>
      <c r="Z54" s="121" t="s">
        <v>29</v>
      </c>
      <c r="AA54" s="121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9"/>
    </row>
    <row r="55" spans="1:39" ht="24.95" customHeight="1" x14ac:dyDescent="0.2">
      <c r="A55" s="8"/>
      <c r="B55" s="40" t="s">
        <v>45</v>
      </c>
      <c r="C55" s="114" t="s">
        <v>30</v>
      </c>
      <c r="D55" s="114"/>
      <c r="E55" s="114"/>
      <c r="F55" s="114"/>
      <c r="G55" s="114"/>
      <c r="H55" s="114"/>
      <c r="I55" s="10"/>
      <c r="J55" s="121"/>
      <c r="K55" s="121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Y55" s="10"/>
      <c r="Z55" s="121"/>
      <c r="AA55" s="121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9"/>
    </row>
    <row r="56" spans="1:39" ht="24.95" customHeight="1" x14ac:dyDescent="0.2">
      <c r="A56" s="8"/>
      <c r="B56" s="40" t="s">
        <v>46</v>
      </c>
      <c r="C56" s="114" t="s">
        <v>31</v>
      </c>
      <c r="D56" s="114"/>
      <c r="E56" s="114"/>
      <c r="F56" s="114"/>
      <c r="G56" s="114"/>
      <c r="H56" s="114"/>
      <c r="I56" s="10"/>
      <c r="J56" s="121"/>
      <c r="K56" s="121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Y56" s="10"/>
      <c r="Z56" s="121"/>
      <c r="AA56" s="121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9"/>
    </row>
    <row r="57" spans="1:39" ht="24.95" customHeight="1" x14ac:dyDescent="0.2">
      <c r="A57" s="8"/>
      <c r="B57" s="10"/>
      <c r="C57" s="10"/>
      <c r="D57" s="10"/>
      <c r="E57" s="10"/>
      <c r="F57" s="10"/>
      <c r="G57" s="10"/>
      <c r="H57" s="10"/>
      <c r="I57" s="10"/>
      <c r="J57" s="121"/>
      <c r="K57" s="121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Y57" s="10"/>
      <c r="Z57" s="121"/>
      <c r="AA57" s="121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9"/>
    </row>
    <row r="58" spans="1:39" ht="24.95" customHeight="1" thickBot="1" x14ac:dyDescent="0.25">
      <c r="A58" s="53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2"/>
    </row>
  </sheetData>
  <sheetProtection formatCells="0"/>
  <mergeCells count="90">
    <mergeCell ref="B7:C7"/>
    <mergeCell ref="D7:S7"/>
    <mergeCell ref="U7:V7"/>
    <mergeCell ref="W7:AL7"/>
    <mergeCell ref="B2:AL2"/>
    <mergeCell ref="B3:AL3"/>
    <mergeCell ref="B4:AL4"/>
    <mergeCell ref="B6:S6"/>
    <mergeCell ref="U6:AL6"/>
    <mergeCell ref="B8:C8"/>
    <mergeCell ref="D8:S8"/>
    <mergeCell ref="U8:V8"/>
    <mergeCell ref="W8:AL8"/>
    <mergeCell ref="B9:C9"/>
    <mergeCell ref="D9:O9"/>
    <mergeCell ref="P9:Q9"/>
    <mergeCell ref="R9:S9"/>
    <mergeCell ref="U9:V9"/>
    <mergeCell ref="W9:AH9"/>
    <mergeCell ref="AI9:AJ9"/>
    <mergeCell ref="AK9:AL9"/>
    <mergeCell ref="W10:AH10"/>
    <mergeCell ref="AI10:AJ10"/>
    <mergeCell ref="AK10:AL10"/>
    <mergeCell ref="B11:J11"/>
    <mergeCell ref="K11:S11"/>
    <mergeCell ref="U11:AC11"/>
    <mergeCell ref="AD11:AL11"/>
    <mergeCell ref="B10:C10"/>
    <mergeCell ref="D10:O10"/>
    <mergeCell ref="P10:Q10"/>
    <mergeCell ref="R10:S10"/>
    <mergeCell ref="U10:V10"/>
    <mergeCell ref="B31:P45"/>
    <mergeCell ref="R31:V32"/>
    <mergeCell ref="X31:AC32"/>
    <mergeCell ref="AJ31:AK31"/>
    <mergeCell ref="AJ32:AK32"/>
    <mergeCell ref="AA33:AA34"/>
    <mergeCell ref="AB33:AC34"/>
    <mergeCell ref="AK33:AK34"/>
    <mergeCell ref="AB37:AC37"/>
    <mergeCell ref="AE37:AG37"/>
    <mergeCell ref="AH37:AI37"/>
    <mergeCell ref="AB41:AC41"/>
    <mergeCell ref="AE41:AG41"/>
    <mergeCell ref="AH41:AI43"/>
    <mergeCell ref="AB42:AC42"/>
    <mergeCell ref="AE42:AG43"/>
    <mergeCell ref="AL33:AL34"/>
    <mergeCell ref="AA35:AC35"/>
    <mergeCell ref="AE35:AG35"/>
    <mergeCell ref="AH35:AI35"/>
    <mergeCell ref="AB36:AC36"/>
    <mergeCell ref="AE36:AG36"/>
    <mergeCell ref="AH36:AI36"/>
    <mergeCell ref="AB38:AC38"/>
    <mergeCell ref="AE38:AG40"/>
    <mergeCell ref="AH38:AI40"/>
    <mergeCell ref="AB39:AC39"/>
    <mergeCell ref="AB40:AC40"/>
    <mergeCell ref="AB43:AC43"/>
    <mergeCell ref="AB44:AC44"/>
    <mergeCell ref="AE44:AG44"/>
    <mergeCell ref="AH44:AI46"/>
    <mergeCell ref="AB45:AC45"/>
    <mergeCell ref="AE45:AG46"/>
    <mergeCell ref="AB46:AC46"/>
    <mergeCell ref="B47:L47"/>
    <mergeCell ref="AB47:AC47"/>
    <mergeCell ref="AG47:AH47"/>
    <mergeCell ref="C48:L48"/>
    <mergeCell ref="AB48:AC48"/>
    <mergeCell ref="AE48:AI48"/>
    <mergeCell ref="AB54:AL57"/>
    <mergeCell ref="C55:H55"/>
    <mergeCell ref="C56:H56"/>
    <mergeCell ref="C49:L49"/>
    <mergeCell ref="AB49:AC49"/>
    <mergeCell ref="C50:L50"/>
    <mergeCell ref="AB50:AC50"/>
    <mergeCell ref="AE50:AG51"/>
    <mergeCell ref="AH50:AI51"/>
    <mergeCell ref="C51:L51"/>
    <mergeCell ref="AB51:AC51"/>
    <mergeCell ref="C52:L52"/>
    <mergeCell ref="C54:H54"/>
    <mergeCell ref="J54:K57"/>
    <mergeCell ref="L54:W57"/>
    <mergeCell ref="Z54:AA57"/>
  </mergeCells>
  <pageMargins left="0.59055118110236227" right="0.19685039370078741" top="0.19685039370078741" bottom="0.19685039370078741" header="0.19685039370078741" footer="0.19685039370078741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f1f2</vt:lpstr>
      <vt:lpstr>f1f2!Print_Area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Prajesh</dc:creator>
  <cp:lastModifiedBy>Kakkad, Krunalben</cp:lastModifiedBy>
  <cp:lastPrinted>2021-12-24T04:05:34Z</cp:lastPrinted>
  <dcterms:created xsi:type="dcterms:W3CDTF">2018-05-14T07:55:23Z</dcterms:created>
  <dcterms:modified xsi:type="dcterms:W3CDTF">2026-06-24T08:54:47Z</dcterms:modified>
</cp:coreProperties>
</file>