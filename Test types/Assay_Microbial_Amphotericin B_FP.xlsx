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T:\1) Analytical Planning\Calculation sheet_AD_NDDS\"/>
    </mc:Choice>
  </mc:AlternateContent>
  <xr:revisionPtr revIDLastSave="0" documentId="13_ncr:1_{8FA92702-826B-42F8-88FE-EA9BFC43E4A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Final Bioassay sheet " sheetId="4" r:id="rId1"/>
    <sheet name="Sheet2" sheetId="2" r:id="rId2"/>
  </sheets>
  <externalReferences>
    <externalReference r:id="rId3"/>
  </externalReferences>
  <definedNames>
    <definedName name="_xlnm.Print_Area" localSheetId="0">'Final Bioassay sheet '!$A$1:$N$67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4" l="1"/>
  <c r="J21" i="4"/>
  <c r="J12" i="4" l="1"/>
  <c r="F22" i="4"/>
  <c r="F12" i="4" l="1"/>
  <c r="I22" i="4" l="1"/>
  <c r="L56" i="4"/>
  <c r="M56" i="4" s="1"/>
  <c r="G56" i="4"/>
  <c r="H56" i="4" l="1"/>
  <c r="L53" i="4" l="1"/>
  <c r="M53" i="4" s="1"/>
  <c r="G53" i="4"/>
  <c r="H53" i="4" l="1"/>
  <c r="L46" i="4" l="1"/>
  <c r="G46" i="4"/>
  <c r="L43" i="4"/>
  <c r="G43" i="4"/>
  <c r="L40" i="4"/>
  <c r="G40" i="4"/>
  <c r="L37" i="4"/>
  <c r="M37" i="4" s="1"/>
  <c r="G37" i="4"/>
  <c r="F21" i="4"/>
  <c r="I21" i="4" s="1"/>
  <c r="J16" i="4"/>
  <c r="L16" i="4" s="1"/>
  <c r="D9" i="2" s="1"/>
  <c r="F16" i="4"/>
  <c r="G16" i="4" s="1"/>
  <c r="J15" i="4"/>
  <c r="L15" i="4" s="1"/>
  <c r="F15" i="4"/>
  <c r="G15" i="4" s="1"/>
  <c r="J14" i="4"/>
  <c r="L14" i="4" s="1"/>
  <c r="D7" i="2" s="1"/>
  <c r="F14" i="4"/>
  <c r="G14" i="4" s="1"/>
  <c r="J13" i="4"/>
  <c r="L13" i="4" s="1"/>
  <c r="F13" i="4"/>
  <c r="G13" i="4" s="1"/>
  <c r="L12" i="4"/>
  <c r="D5" i="2" s="1"/>
  <c r="G12" i="4"/>
  <c r="H43" i="4" l="1"/>
  <c r="H46" i="4"/>
  <c r="B40" i="4"/>
  <c r="D6" i="2"/>
  <c r="B43" i="4"/>
  <c r="D8" i="2"/>
  <c r="H37" i="4"/>
  <c r="B49" i="4"/>
  <c r="B37" i="4"/>
  <c r="B46" i="4"/>
  <c r="G49" i="4"/>
  <c r="M46" i="4"/>
  <c r="H40" i="4"/>
  <c r="M43" i="4"/>
  <c r="M40" i="4"/>
  <c r="E7" i="2" l="1"/>
  <c r="N56" i="4"/>
  <c r="E63" i="4" s="1"/>
  <c r="N53" i="4"/>
  <c r="E62" i="4" s="1"/>
  <c r="N43" i="4"/>
  <c r="E8" i="2" s="1"/>
  <c r="N46" i="4"/>
  <c r="E9" i="2" s="1"/>
  <c r="N40" i="4"/>
  <c r="E6" i="2" s="1"/>
  <c r="N49" i="4"/>
  <c r="N37" i="4"/>
  <c r="E5" i="2" s="1"/>
  <c r="D63" i="4" l="1"/>
  <c r="C62" i="4"/>
  <c r="C63" i="4"/>
  <c r="D62" i="4"/>
  <c r="F63" i="4" l="1"/>
  <c r="G63" i="4" s="1"/>
  <c r="H63" i="4" s="1"/>
  <c r="F62" i="4"/>
  <c r="G62" i="4" s="1"/>
  <c r="H62" i="4" s="1"/>
</calcChain>
</file>

<file path=xl/sharedStrings.xml><?xml version="1.0" encoding="utf-8"?>
<sst xmlns="http://schemas.openxmlformats.org/spreadsheetml/2006/main" count="103" uniqueCount="68">
  <si>
    <t xml:space="preserve">Date </t>
  </si>
  <si>
    <t xml:space="preserve">Product Name </t>
  </si>
  <si>
    <t>Batch No.</t>
  </si>
  <si>
    <t>Label Claim</t>
  </si>
  <si>
    <t>Sample Details</t>
  </si>
  <si>
    <t>Standard Details</t>
  </si>
  <si>
    <t>Name</t>
  </si>
  <si>
    <t xml:space="preserve">Batch No. </t>
  </si>
  <si>
    <t>Potency</t>
  </si>
  <si>
    <t xml:space="preserve">Valid up to </t>
  </si>
  <si>
    <t xml:space="preserve">Standard Stcok Solution Preapration </t>
  </si>
  <si>
    <t xml:space="preserve">Name </t>
  </si>
  <si>
    <t xml:space="preserve">Weight in mg </t>
  </si>
  <si>
    <t>Dilution (*mL)</t>
  </si>
  <si>
    <t>Dilution (**mL)</t>
  </si>
  <si>
    <t>Sample Preparation</t>
  </si>
  <si>
    <t>Amphotericin B USPRS</t>
  </si>
  <si>
    <t>S1</t>
  </si>
  <si>
    <t>S2</t>
  </si>
  <si>
    <t>S3</t>
  </si>
  <si>
    <t>S4</t>
  </si>
  <si>
    <t>S5</t>
  </si>
  <si>
    <t>Concentration(µg/mL)</t>
  </si>
  <si>
    <t>Concentration (µg/mL)</t>
  </si>
  <si>
    <t xml:space="preserve">Standard Name </t>
  </si>
  <si>
    <t>Log Concentration</t>
  </si>
  <si>
    <t>Plates</t>
  </si>
  <si>
    <t>Zone 2</t>
  </si>
  <si>
    <t>Zone 4</t>
  </si>
  <si>
    <t>Zone 6</t>
  </si>
  <si>
    <t xml:space="preserve">Average </t>
  </si>
  <si>
    <t>% RSD</t>
  </si>
  <si>
    <t>Reference zone (Reading in mm)</t>
  </si>
  <si>
    <t>Sample Zone (Reading in mm)</t>
  </si>
  <si>
    <t>Zone 1</t>
  </si>
  <si>
    <t>Zone 3</t>
  </si>
  <si>
    <t>Zone 5</t>
  </si>
  <si>
    <t>S3 (Refernce)</t>
  </si>
  <si>
    <t>Average</t>
  </si>
  <si>
    <t>NA</t>
  </si>
  <si>
    <t>Corrected Mean</t>
  </si>
  <si>
    <t>Std. Name</t>
  </si>
  <si>
    <t>Sample Reading</t>
  </si>
  <si>
    <t>Sample Batch No.</t>
  </si>
  <si>
    <t>Corrected Mean (U)</t>
  </si>
  <si>
    <t>Sample Preparation -1 : Results</t>
  </si>
  <si>
    <t xml:space="preserve">Sample Detatils </t>
  </si>
  <si>
    <t>Slope</t>
  </si>
  <si>
    <t>Intercept</t>
  </si>
  <si>
    <t>Corrected Average</t>
  </si>
  <si>
    <t>Assay(%)</t>
  </si>
  <si>
    <t>Checked By :</t>
  </si>
  <si>
    <t>Analyzed By :</t>
  </si>
  <si>
    <t xml:space="preserve">Corrected Zone Diameter </t>
  </si>
  <si>
    <t>Sample Taken (*mL)</t>
  </si>
  <si>
    <t>Volume taken (mL)</t>
  </si>
  <si>
    <t>Amphotercin B</t>
  </si>
  <si>
    <t>Where, * = N,N, Dimethyl Formamide , ** = Buffer solution pH 10.5</t>
  </si>
  <si>
    <r>
      <t>Where, RSD : NMT 10% , R</t>
    </r>
    <r>
      <rPr>
        <b/>
        <vertAlign val="superscript"/>
        <sz val="11"/>
        <color theme="1"/>
        <rFont val="Arial"/>
        <family val="2"/>
      </rPr>
      <t xml:space="preserve">2 </t>
    </r>
    <r>
      <rPr>
        <b/>
        <sz val="11"/>
        <color theme="1"/>
        <rFont val="Arial"/>
        <family val="2"/>
      </rPr>
      <t>= NLT 95 %</t>
    </r>
  </si>
  <si>
    <t>Amphotericin B Liposome for injection 50 mg / viaL</t>
  </si>
  <si>
    <t xml:space="preserve">Amphotericin B Weight in mg </t>
  </si>
  <si>
    <t xml:space="preserve">Each vial contain 50 mg of Amphotericin B </t>
  </si>
  <si>
    <t>Condition</t>
  </si>
  <si>
    <t>TRF No.</t>
  </si>
  <si>
    <t>R087G0</t>
  </si>
  <si>
    <t xml:space="preserve">Average Weight (mg/vial) </t>
  </si>
  <si>
    <t>Log concentration of Sample(Lu)</t>
  </si>
  <si>
    <t>Concentration (µg/mL)(Cu)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</si>
</sst>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[$-F800]dddd\,\ mmmm\ dd\,\ yyyy"/>
    <numFmt numFmtId="166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7" fillId="0" borderId="0" xfId="0" applyFont="1"/>
    <xf numFmtId="0" fontId="8" fillId="0" borderId="0" xfId="0" applyFont="1"/>
    <xf numFmtId="0" fontId="0" fillId="0" borderId="0" xfId="0" applyProtection="1"/>
    <xf numFmtId="0" fontId="3" fillId="0" borderId="5" xfId="0" applyFont="1" applyBorder="1" applyProtection="1"/>
    <xf numFmtId="0" fontId="3" fillId="0" borderId="11" xfId="0" applyFont="1" applyBorder="1" applyAlignment="1" applyProtection="1">
      <alignment horizontal="center"/>
    </xf>
    <xf numFmtId="164" fontId="3" fillId="0" borderId="11" xfId="0" applyNumberFormat="1" applyFont="1" applyBorder="1" applyAlignment="1" applyProtection="1">
      <alignment horizontal="center"/>
    </xf>
    <xf numFmtId="0" fontId="3" fillId="0" borderId="2" xfId="0" applyFont="1" applyBorder="1" applyAlignment="1">
      <alignment horizontal="center" shrinkToFit="1"/>
    </xf>
    <xf numFmtId="0" fontId="3" fillId="0" borderId="3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0" borderId="10" xfId="0" applyFont="1" applyFill="1" applyBorder="1"/>
    <xf numFmtId="165" fontId="6" fillId="0" borderId="2" xfId="0" applyNumberFormat="1" applyFont="1" applyFill="1" applyBorder="1" applyAlignment="1">
      <alignment horizontal="left"/>
    </xf>
    <xf numFmtId="165" fontId="6" fillId="0" borderId="3" xfId="0" applyNumberFormat="1" applyFont="1" applyFill="1" applyBorder="1" applyAlignment="1">
      <alignment horizontal="left"/>
    </xf>
    <xf numFmtId="165" fontId="6" fillId="0" borderId="4" xfId="0" applyNumberFormat="1" applyFont="1" applyFill="1" applyBorder="1" applyAlignment="1">
      <alignment horizontal="left"/>
    </xf>
    <xf numFmtId="0" fontId="7" fillId="0" borderId="0" xfId="0" applyFont="1" applyFill="1"/>
    <xf numFmtId="0" fontId="5" fillId="0" borderId="5" xfId="0" applyFont="1" applyFill="1" applyBorder="1"/>
    <xf numFmtId="0" fontId="5" fillId="0" borderId="2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1" xfId="0" applyFont="1" applyFill="1" applyBorder="1" applyAlignment="1">
      <alignment vertical="top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 applyProtection="1">
      <alignment horizontal="left" vertical="top"/>
      <protection locked="0"/>
    </xf>
    <xf numFmtId="1" fontId="6" fillId="0" borderId="3" xfId="0" applyNumberFormat="1" applyFont="1" applyFill="1" applyBorder="1" applyAlignment="1" applyProtection="1">
      <alignment horizontal="left" vertical="top"/>
      <protection locked="0"/>
    </xf>
    <xf numFmtId="1" fontId="6" fillId="0" borderId="4" xfId="0" applyNumberFormat="1" applyFont="1" applyFill="1" applyBorder="1" applyAlignment="1" applyProtection="1">
      <alignment horizontal="left" vertical="top"/>
      <protection locked="0"/>
    </xf>
    <xf numFmtId="0" fontId="5" fillId="0" borderId="7" xfId="0" applyFont="1" applyFill="1" applyBorder="1"/>
    <xf numFmtId="0" fontId="5" fillId="0" borderId="1" xfId="0" applyFont="1" applyFill="1" applyBorder="1" applyAlignment="1">
      <alignment vertical="top" wrapText="1" shrinkToFit="1"/>
    </xf>
    <xf numFmtId="0" fontId="5" fillId="0" borderId="2" xfId="0" applyFont="1" applyFill="1" applyBorder="1" applyAlignment="1">
      <alignment horizontal="left" vertical="top" wrapText="1" shrinkToFit="1"/>
    </xf>
    <xf numFmtId="0" fontId="5" fillId="0" borderId="3" xfId="0" applyFont="1" applyFill="1" applyBorder="1" applyAlignment="1">
      <alignment horizontal="left" vertical="top" wrapText="1" shrinkToFit="1"/>
    </xf>
    <xf numFmtId="0" fontId="5" fillId="0" borderId="4" xfId="0" applyFont="1" applyFill="1" applyBorder="1" applyAlignment="1">
      <alignment horizontal="left" vertical="top" wrapText="1" shrinkToFit="1"/>
    </xf>
    <xf numFmtId="0" fontId="8" fillId="0" borderId="0" xfId="0" applyFont="1" applyFill="1"/>
    <xf numFmtId="0" fontId="5" fillId="0" borderId="0" xfId="0" applyFont="1" applyFill="1"/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9" xfId="0" applyFont="1" applyFill="1" applyBorder="1" applyAlignment="1">
      <alignment horizontal="left" vertical="top" wrapText="1"/>
    </xf>
    <xf numFmtId="166" fontId="5" fillId="0" borderId="9" xfId="0" applyNumberFormat="1" applyFont="1" applyFill="1" applyBorder="1" applyAlignment="1">
      <alignment horizontal="center" vertical="top"/>
    </xf>
    <xf numFmtId="0" fontId="5" fillId="0" borderId="9" xfId="0" applyFont="1" applyFill="1" applyBorder="1" applyAlignment="1">
      <alignment horizontal="center" vertical="top"/>
    </xf>
    <xf numFmtId="2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2" fontId="5" fillId="0" borderId="1" xfId="0" applyNumberFormat="1" applyFont="1" applyFill="1" applyBorder="1" applyAlignment="1" applyProtection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left" vertical="top" wrapText="1"/>
    </xf>
    <xf numFmtId="166" fontId="5" fillId="0" borderId="6" xfId="0" applyNumberFormat="1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center" vertical="top"/>
    </xf>
    <xf numFmtId="0" fontId="5" fillId="0" borderId="10" xfId="0" applyFont="1" applyFill="1" applyBorder="1" applyAlignment="1">
      <alignment horizontal="left" vertical="top" wrapText="1"/>
    </xf>
    <xf numFmtId="166" fontId="5" fillId="0" borderId="10" xfId="0" applyNumberFormat="1" applyFont="1" applyFill="1" applyBorder="1" applyAlignment="1">
      <alignment horizontal="center" vertical="top"/>
    </xf>
    <xf numFmtId="0" fontId="5" fillId="0" borderId="10" xfId="0" applyFont="1" applyFill="1" applyBorder="1" applyAlignment="1">
      <alignment horizontal="center" vertical="top"/>
    </xf>
    <xf numFmtId="0" fontId="9" fillId="0" borderId="1" xfId="0" applyFont="1" applyFill="1" applyBorder="1"/>
    <xf numFmtId="0" fontId="5" fillId="0" borderId="4" xfId="0" applyFont="1" applyFill="1" applyBorder="1" applyAlignment="1">
      <alignment horizontal="center"/>
    </xf>
    <xf numFmtId="0" fontId="5" fillId="0" borderId="1" xfId="0" applyFont="1" applyFill="1" applyBorder="1" applyAlignment="1" applyProtection="1">
      <alignment horizontal="center" vertical="top"/>
    </xf>
    <xf numFmtId="0" fontId="5" fillId="0" borderId="0" xfId="0" applyFont="1" applyFill="1" applyBorder="1" applyAlignment="1">
      <alignment wrapText="1" shrinkToFit="1"/>
    </xf>
    <xf numFmtId="0" fontId="8" fillId="0" borderId="0" xfId="0" applyFont="1" applyFill="1" applyBorder="1" applyAlignment="1">
      <alignment horizontal="center" vertical="top"/>
    </xf>
    <xf numFmtId="0" fontId="5" fillId="0" borderId="9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/>
    </xf>
    <xf numFmtId="0" fontId="5" fillId="0" borderId="9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9" xfId="0" applyFont="1" applyFill="1" applyBorder="1" applyAlignment="1">
      <alignment horizontal="center" vertical="center"/>
    </xf>
    <xf numFmtId="164" fontId="5" fillId="0" borderId="9" xfId="0" applyNumberFormat="1" applyFont="1" applyFill="1" applyBorder="1" applyAlignment="1" applyProtection="1">
      <alignment horizontal="center" vertical="center"/>
    </xf>
    <xf numFmtId="2" fontId="6" fillId="0" borderId="20" xfId="0" applyNumberFormat="1" applyFont="1" applyFill="1" applyBorder="1" applyAlignment="1" applyProtection="1">
      <alignment horizontal="center"/>
      <protection locked="0"/>
    </xf>
    <xf numFmtId="164" fontId="5" fillId="0" borderId="5" xfId="0" applyNumberFormat="1" applyFont="1" applyFill="1" applyBorder="1" applyAlignment="1" applyProtection="1">
      <alignment horizontal="center" vertical="center"/>
    </xf>
    <xf numFmtId="2" fontId="6" fillId="0" borderId="17" xfId="0" applyNumberFormat="1" applyFont="1" applyFill="1" applyBorder="1" applyAlignment="1" applyProtection="1">
      <alignment horizontal="center"/>
      <protection locked="0"/>
    </xf>
    <xf numFmtId="164" fontId="5" fillId="0" borderId="13" xfId="0" applyNumberFormat="1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>
      <alignment horizontal="center" vertical="top"/>
    </xf>
    <xf numFmtId="164" fontId="5" fillId="0" borderId="14" xfId="0" applyNumberFormat="1" applyFont="1" applyFill="1" applyBorder="1" applyAlignment="1" applyProtection="1">
      <alignment horizontal="center" vertical="center"/>
    </xf>
    <xf numFmtId="164" fontId="5" fillId="0" borderId="15" xfId="0" applyNumberFormat="1" applyFont="1" applyFill="1" applyBorder="1" applyAlignment="1" applyProtection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164" fontId="5" fillId="0" borderId="10" xfId="0" applyNumberFormat="1" applyFont="1" applyFill="1" applyBorder="1" applyAlignment="1" applyProtection="1">
      <alignment horizontal="center" vertical="center"/>
    </xf>
    <xf numFmtId="0" fontId="5" fillId="0" borderId="10" xfId="0" applyFont="1" applyFill="1" applyBorder="1" applyAlignment="1">
      <alignment horizontal="center" vertical="top"/>
    </xf>
    <xf numFmtId="164" fontId="5" fillId="0" borderId="7" xfId="0" applyNumberFormat="1" applyFont="1" applyFill="1" applyBorder="1" applyAlignment="1" applyProtection="1">
      <alignment horizontal="center" vertical="center"/>
    </xf>
    <xf numFmtId="164" fontId="5" fillId="0" borderId="8" xfId="0" applyNumberFormat="1" applyFont="1" applyFill="1" applyBorder="1" applyAlignment="1" applyProtection="1">
      <alignment horizontal="center" vertical="center"/>
    </xf>
    <xf numFmtId="2" fontId="6" fillId="0" borderId="18" xfId="0" applyNumberFormat="1" applyFont="1" applyFill="1" applyBorder="1" applyAlignment="1" applyProtection="1">
      <alignment horizontal="center"/>
      <protection locked="0"/>
    </xf>
    <xf numFmtId="164" fontId="5" fillId="0" borderId="1" xfId="0" applyNumberFormat="1" applyFont="1" applyFill="1" applyBorder="1" applyAlignment="1" applyProtection="1">
      <alignment horizontal="center"/>
    </xf>
    <xf numFmtId="0" fontId="5" fillId="0" borderId="2" xfId="0" applyFont="1" applyFill="1" applyBorder="1" applyAlignment="1">
      <alignment horizontal="right"/>
    </xf>
    <xf numFmtId="0" fontId="5" fillId="0" borderId="3" xfId="0" applyFont="1" applyFill="1" applyBorder="1" applyAlignment="1">
      <alignment horizontal="right"/>
    </xf>
    <xf numFmtId="0" fontId="5" fillId="0" borderId="4" xfId="0" applyFont="1" applyFill="1" applyBorder="1" applyAlignment="1">
      <alignment horizontal="right"/>
    </xf>
    <xf numFmtId="0" fontId="5" fillId="0" borderId="1" xfId="0" applyFont="1" applyFill="1" applyBorder="1" applyAlignment="1" applyProtection="1">
      <alignment horizontal="center"/>
    </xf>
    <xf numFmtId="0" fontId="5" fillId="0" borderId="9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top"/>
    </xf>
    <xf numFmtId="2" fontId="6" fillId="0" borderId="19" xfId="0" applyNumberFormat="1" applyFont="1" applyFill="1" applyBorder="1" applyAlignment="1" applyProtection="1">
      <alignment horizontal="center"/>
      <protection locked="0"/>
    </xf>
    <xf numFmtId="2" fontId="6" fillId="0" borderId="16" xfId="0" applyNumberFormat="1" applyFont="1" applyFill="1" applyBorder="1" applyAlignment="1" applyProtection="1">
      <alignment horizontal="center"/>
      <protection locked="0"/>
    </xf>
    <xf numFmtId="2" fontId="6" fillId="0" borderId="22" xfId="0" applyNumberFormat="1" applyFont="1" applyFill="1" applyBorder="1" applyAlignment="1" applyProtection="1">
      <alignment horizontal="center"/>
      <protection locked="0"/>
    </xf>
    <xf numFmtId="0" fontId="6" fillId="0" borderId="6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top"/>
    </xf>
    <xf numFmtId="2" fontId="6" fillId="0" borderId="23" xfId="0" applyNumberFormat="1" applyFont="1" applyFill="1" applyBorder="1" applyAlignment="1" applyProtection="1">
      <alignment horizontal="center"/>
      <protection locked="0"/>
    </xf>
    <xf numFmtId="0" fontId="6" fillId="0" borderId="10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top"/>
    </xf>
    <xf numFmtId="2" fontId="6" fillId="0" borderId="21" xfId="0" applyNumberFormat="1" applyFont="1" applyFill="1" applyBorder="1" applyAlignment="1" applyProtection="1">
      <alignment horizontal="center"/>
      <protection locked="0"/>
    </xf>
    <xf numFmtId="2" fontId="6" fillId="0" borderId="24" xfId="0" applyNumberFormat="1" applyFont="1" applyFill="1" applyBorder="1" applyAlignment="1" applyProtection="1">
      <alignment horizontal="center"/>
      <protection locked="0"/>
    </xf>
    <xf numFmtId="0" fontId="6" fillId="0" borderId="9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horizontal="center" vertical="top"/>
    </xf>
    <xf numFmtId="0" fontId="6" fillId="0" borderId="6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horizontal="center" vertical="top"/>
    </xf>
    <xf numFmtId="0" fontId="6" fillId="0" borderId="10" xfId="0" applyFont="1" applyFill="1" applyBorder="1" applyAlignment="1">
      <alignment vertical="center" wrapText="1"/>
    </xf>
    <xf numFmtId="0" fontId="0" fillId="0" borderId="0" xfId="0" applyFill="1"/>
    <xf numFmtId="0" fontId="1" fillId="0" borderId="0" xfId="0" applyFont="1" applyFill="1"/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/>
    </xf>
    <xf numFmtId="0" fontId="9" fillId="0" borderId="4" xfId="0" applyFont="1" applyFill="1" applyBorder="1" applyAlignment="1">
      <alignment horizontal="left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166" fontId="3" fillId="0" borderId="1" xfId="0" applyNumberFormat="1" applyFont="1" applyFill="1" applyBorder="1" applyAlignment="1" applyProtection="1">
      <alignment horizontal="center" vertical="center"/>
    </xf>
    <xf numFmtId="2" fontId="3" fillId="0" borderId="1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r>
              <a:rPr lang="en-US" sz="1200" b="1" i="0" baseline="0">
                <a:latin typeface="Arial" panose="020B0604020202020204" pitchFamily="34" charset="0"/>
              </a:rPr>
              <a:t>Standard Concentration Curve </a:t>
            </a:r>
          </a:p>
        </c:rich>
      </c:tx>
      <c:layout>
        <c:manualLayout>
          <c:xMode val="edge"/>
          <c:yMode val="edge"/>
          <c:x val="0.40947010489668179"/>
          <c:y val="7.0800319239091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62075882677485"/>
          <c:y val="0.17608893715871723"/>
          <c:w val="0.8135559661325944"/>
          <c:h val="0.6040905163993594"/>
        </c:manualLayout>
      </c:layout>
      <c:scatterChart>
        <c:scatterStyle val="lineMarker"/>
        <c:varyColors val="0"/>
        <c:ser>
          <c:idx val="0"/>
          <c:order val="0"/>
          <c:tx>
            <c:v>Standard Concentration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607150011047989"/>
                  <c:y val="3.61828463024268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Sheet2!$D$5:$D$10</c:f>
              <c:numCache>
                <c:formatCode>0.0000</c:formatCode>
                <c:ptCount val="6"/>
                <c:pt idx="0">
                  <c:v>-0.44729999999999998</c:v>
                </c:pt>
                <c:pt idx="1">
                  <c:v>-0.22420000000000001</c:v>
                </c:pt>
                <c:pt idx="2">
                  <c:v>-1E-3</c:v>
                </c:pt>
                <c:pt idx="3">
                  <c:v>0.22209999999999999</c:v>
                </c:pt>
                <c:pt idx="4">
                  <c:v>0.44369999999999998</c:v>
                </c:pt>
              </c:numCache>
            </c:numRef>
          </c:xVal>
          <c:yVal>
            <c:numRef>
              <c:f>Sheet2!$E$5:$E$10</c:f>
              <c:numCache>
                <c:formatCode>0.0000</c:formatCode>
                <c:ptCount val="6"/>
                <c:pt idx="0">
                  <c:v>13.352777777777776</c:v>
                </c:pt>
                <c:pt idx="1">
                  <c:v>14.367222222222223</c:v>
                </c:pt>
                <c:pt idx="2">
                  <c:v>14.451666666666666</c:v>
                </c:pt>
                <c:pt idx="3">
                  <c:v>15.483888888888888</c:v>
                </c:pt>
                <c:pt idx="4">
                  <c:v>16.290555555555557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06-49AD-9E49-7C171012E5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7259512"/>
        <c:axId val="157260296"/>
      </c:scatterChart>
      <c:valAx>
        <c:axId val="157259512"/>
        <c:scaling>
          <c:orientation val="minMax"/>
          <c:min val="-0.600000000000000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en-IN" sz="1100" b="1" i="0" baseline="0">
                    <a:latin typeface="Arial" panose="020B0604020202020204" pitchFamily="34" charset="0"/>
                  </a:rPr>
                  <a:t>Log concentration </a:t>
                </a:r>
              </a:p>
            </c:rich>
          </c:tx>
          <c:layout>
            <c:manualLayout>
              <c:xMode val="edge"/>
              <c:yMode val="edge"/>
              <c:x val="0.42811824099144352"/>
              <c:y val="0.896999728482215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7260296"/>
        <c:crosses val="autoZero"/>
        <c:crossBetween val="midCat"/>
      </c:valAx>
      <c:valAx>
        <c:axId val="157260296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en-IN" sz="1100" b="1" i="0" baseline="0">
                    <a:latin typeface="Arial" panose="020B0604020202020204" pitchFamily="34" charset="0"/>
                  </a:rPr>
                  <a:t>Average Reading</a:t>
                </a:r>
              </a:p>
            </c:rich>
          </c:tx>
          <c:layout>
            <c:manualLayout>
              <c:xMode val="edge"/>
              <c:yMode val="edge"/>
              <c:x val="2.6954886599024556E-2"/>
              <c:y val="0.257047097211499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7259512"/>
        <c:crossesAt val="-0.60000000000000009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22</xdr:row>
      <xdr:rowOff>130175</xdr:rowOff>
    </xdr:from>
    <xdr:to>
      <xdr:col>9</xdr:col>
      <xdr:colOff>438150</xdr:colOff>
      <xdr:row>32</xdr:row>
      <xdr:rowOff>139701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yan.shah\Documents\Calacccculation%20sheet\26280916\Amphotericin%20Precision%20Calculation%20Sheet%20final%20Finished%20final%2026280916%20_Set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6"/>
  <sheetViews>
    <sheetView tabSelected="1" view="pageBreakPreview" topLeftCell="A44" zoomScaleNormal="100" zoomScaleSheetLayoutView="100" workbookViewId="0">
      <selection activeCell="B8" sqref="B8:G8"/>
    </sheetView>
  </sheetViews>
  <sheetFormatPr defaultRowHeight="15" x14ac:dyDescent="0.25"/>
  <cols>
    <col min="1" max="1" width="46.7109375" customWidth="1"/>
    <col min="2" max="2" width="17.85546875" customWidth="1"/>
    <col min="3" max="3" width="10" customWidth="1"/>
    <col min="4" max="4" width="15.42578125" customWidth="1"/>
    <col min="5" max="5" width="14" customWidth="1"/>
    <col min="6" max="6" width="18.28515625" customWidth="1"/>
    <col min="7" max="7" width="25.42578125" customWidth="1"/>
    <col min="8" max="8" width="14.28515625" customWidth="1"/>
    <col min="9" max="9" width="16.85546875" customWidth="1"/>
    <col min="10" max="10" width="18" customWidth="1"/>
    <col min="11" max="11" width="12" customWidth="1"/>
    <col min="12" max="12" width="15.28515625" customWidth="1"/>
    <col min="13" max="13" width="11.7109375" customWidth="1"/>
    <col min="14" max="14" width="12.5703125" customWidth="1"/>
  </cols>
  <sheetData>
    <row r="1" spans="1:15" ht="3.75" hidden="1" customHeight="1" thickBot="1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</row>
    <row r="2" spans="1:15" ht="15.75" thickBot="1" x14ac:dyDescent="0.3">
      <c r="A2" s="10" t="s">
        <v>4</v>
      </c>
      <c r="B2" s="11"/>
      <c r="C2" s="11"/>
      <c r="D2" s="11"/>
      <c r="E2" s="11"/>
      <c r="F2" s="11"/>
      <c r="G2" s="12"/>
      <c r="H2" s="1"/>
      <c r="I2" s="10" t="s">
        <v>5</v>
      </c>
      <c r="J2" s="11"/>
      <c r="K2" s="11"/>
      <c r="L2" s="12"/>
      <c r="M2" s="2"/>
      <c r="N2" s="1"/>
    </row>
    <row r="3" spans="1:15" ht="15.75" thickBot="1" x14ac:dyDescent="0.3">
      <c r="A3" s="13" t="s">
        <v>0</v>
      </c>
      <c r="B3" s="14"/>
      <c r="C3" s="15"/>
      <c r="D3" s="15"/>
      <c r="E3" s="15"/>
      <c r="F3" s="15"/>
      <c r="G3" s="16"/>
      <c r="H3" s="17"/>
      <c r="I3" s="18" t="s">
        <v>6</v>
      </c>
      <c r="J3" s="19" t="s">
        <v>56</v>
      </c>
      <c r="K3" s="20"/>
      <c r="L3" s="21"/>
      <c r="M3" s="17"/>
      <c r="N3" s="17"/>
    </row>
    <row r="4" spans="1:15" ht="15.75" customHeight="1" thickBot="1" x14ac:dyDescent="0.3">
      <c r="A4" s="22" t="s">
        <v>1</v>
      </c>
      <c r="B4" s="23" t="s">
        <v>59</v>
      </c>
      <c r="C4" s="24"/>
      <c r="D4" s="24"/>
      <c r="E4" s="24"/>
      <c r="F4" s="24"/>
      <c r="G4" s="25"/>
      <c r="H4" s="17"/>
      <c r="I4" s="22" t="s">
        <v>7</v>
      </c>
      <c r="J4" s="19" t="s">
        <v>64</v>
      </c>
      <c r="K4" s="20"/>
      <c r="L4" s="21"/>
      <c r="M4" s="17"/>
      <c r="N4" s="17"/>
    </row>
    <row r="5" spans="1:15" ht="19.5" customHeight="1" thickBot="1" x14ac:dyDescent="0.3">
      <c r="A5" s="26" t="s">
        <v>2</v>
      </c>
      <c r="B5" s="27"/>
      <c r="C5" s="28"/>
      <c r="D5" s="28"/>
      <c r="E5" s="28"/>
      <c r="F5" s="28"/>
      <c r="G5" s="29"/>
      <c r="H5" s="17"/>
      <c r="I5" s="26" t="s">
        <v>8</v>
      </c>
      <c r="J5" s="30">
        <v>994</v>
      </c>
      <c r="K5" s="31"/>
      <c r="L5" s="32"/>
      <c r="M5" s="17"/>
      <c r="N5" s="17"/>
    </row>
    <row r="6" spans="1:15" ht="14.25" customHeight="1" thickBot="1" x14ac:dyDescent="0.3">
      <c r="A6" s="22" t="s">
        <v>3</v>
      </c>
      <c r="B6" s="23" t="s">
        <v>61</v>
      </c>
      <c r="C6" s="24"/>
      <c r="D6" s="24"/>
      <c r="E6" s="24"/>
      <c r="F6" s="24"/>
      <c r="G6" s="25"/>
      <c r="H6" s="17"/>
      <c r="I6" s="33" t="s">
        <v>9</v>
      </c>
      <c r="J6" s="23" t="s">
        <v>39</v>
      </c>
      <c r="K6" s="24"/>
      <c r="L6" s="25"/>
      <c r="M6" s="17"/>
      <c r="N6" s="17"/>
    </row>
    <row r="7" spans="1:15" ht="15" customHeight="1" thickBot="1" x14ac:dyDescent="0.3">
      <c r="A7" s="26" t="s">
        <v>62</v>
      </c>
      <c r="B7" s="27"/>
      <c r="C7" s="28"/>
      <c r="D7" s="28"/>
      <c r="E7" s="28"/>
      <c r="F7" s="28"/>
      <c r="G7" s="29"/>
      <c r="H7" s="17"/>
      <c r="I7" s="17"/>
      <c r="J7" s="17"/>
      <c r="K7" s="17"/>
      <c r="L7" s="17"/>
      <c r="M7" s="17"/>
      <c r="N7" s="17"/>
    </row>
    <row r="8" spans="1:15" ht="29.25" customHeight="1" thickBot="1" x14ac:dyDescent="0.3">
      <c r="A8" s="34" t="s">
        <v>63</v>
      </c>
      <c r="B8" s="35"/>
      <c r="C8" s="36"/>
      <c r="D8" s="36"/>
      <c r="E8" s="36"/>
      <c r="F8" s="36"/>
      <c r="G8" s="37"/>
      <c r="H8" s="17"/>
      <c r="I8" s="17"/>
      <c r="J8" s="17"/>
      <c r="K8" s="17"/>
      <c r="L8" s="17"/>
      <c r="M8" s="17"/>
      <c r="N8" s="17"/>
    </row>
    <row r="9" spans="1:15" ht="15.75" thickBot="1" x14ac:dyDescent="0.3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5" ht="15.75" thickBot="1" x14ac:dyDescent="0.3">
      <c r="A10" s="23" t="s">
        <v>10</v>
      </c>
      <c r="B10" s="24"/>
      <c r="C10" s="25"/>
      <c r="D10" s="39"/>
      <c r="E10" s="39"/>
      <c r="F10" s="39"/>
      <c r="G10" s="39"/>
      <c r="H10" s="39"/>
      <c r="I10" s="39"/>
      <c r="J10" s="38"/>
      <c r="K10" s="38"/>
      <c r="L10" s="38"/>
      <c r="M10" s="38"/>
      <c r="N10" s="38"/>
    </row>
    <row r="11" spans="1:15" ht="30" customHeight="1" thickBot="1" x14ac:dyDescent="0.3">
      <c r="A11" s="26" t="s">
        <v>11</v>
      </c>
      <c r="B11" s="40" t="s">
        <v>12</v>
      </c>
      <c r="C11" s="40" t="s">
        <v>13</v>
      </c>
      <c r="D11" s="40" t="s">
        <v>54</v>
      </c>
      <c r="E11" s="40" t="s">
        <v>13</v>
      </c>
      <c r="F11" s="40" t="s">
        <v>23</v>
      </c>
      <c r="G11" s="40" t="s">
        <v>25</v>
      </c>
      <c r="H11" s="41" t="s">
        <v>55</v>
      </c>
      <c r="I11" s="40" t="s">
        <v>14</v>
      </c>
      <c r="J11" s="41" t="s">
        <v>23</v>
      </c>
      <c r="K11" s="41" t="s">
        <v>41</v>
      </c>
      <c r="L11" s="40" t="s">
        <v>25</v>
      </c>
      <c r="M11" s="38"/>
      <c r="N11" s="38"/>
    </row>
    <row r="12" spans="1:15" ht="15" customHeight="1" thickBot="1" x14ac:dyDescent="0.3">
      <c r="A12" s="42" t="s">
        <v>16</v>
      </c>
      <c r="B12" s="43">
        <v>10.050000000000001</v>
      </c>
      <c r="C12" s="44">
        <v>10</v>
      </c>
      <c r="D12" s="45">
        <v>0.64</v>
      </c>
      <c r="E12" s="46">
        <v>50</v>
      </c>
      <c r="F12" s="47">
        <f>B12/C12*D12/E12*J5</f>
        <v>12.786816000000002</v>
      </c>
      <c r="G12" s="48">
        <f>LN(F12)</f>
        <v>2.5484146401110475</v>
      </c>
      <c r="H12" s="46">
        <v>1</v>
      </c>
      <c r="I12" s="46">
        <v>20</v>
      </c>
      <c r="J12" s="45">
        <f>(B12/C12*D12/E12*H12/I12*J5)</f>
        <v>0.63934080000000015</v>
      </c>
      <c r="K12" s="46" t="s">
        <v>17</v>
      </c>
      <c r="L12" s="48">
        <f>ROUND(LN(J12),4)</f>
        <v>-0.44729999999999998</v>
      </c>
      <c r="M12" s="38"/>
      <c r="N12" s="38"/>
    </row>
    <row r="13" spans="1:15" ht="15.75" thickBot="1" x14ac:dyDescent="0.3">
      <c r="A13" s="49"/>
      <c r="B13" s="50"/>
      <c r="C13" s="51"/>
      <c r="D13" s="45">
        <v>0.8</v>
      </c>
      <c r="E13" s="46">
        <v>50</v>
      </c>
      <c r="F13" s="47">
        <f>B12/C12*D13/E13*J5</f>
        <v>15.983520000000004</v>
      </c>
      <c r="G13" s="48">
        <f t="shared" ref="G13:G16" si="0">LN(F13)</f>
        <v>2.7715581914252576</v>
      </c>
      <c r="H13" s="46">
        <v>1</v>
      </c>
      <c r="I13" s="46">
        <v>20</v>
      </c>
      <c r="J13" s="45">
        <f>(B12/C12*D13/E13*H13/I13*J5)</f>
        <v>0.79917600000000022</v>
      </c>
      <c r="K13" s="46" t="s">
        <v>18</v>
      </c>
      <c r="L13" s="48">
        <f t="shared" ref="L13:L16" si="1">ROUND(LN(J13),4)</f>
        <v>-0.22420000000000001</v>
      </c>
      <c r="M13" s="38"/>
      <c r="N13" s="38"/>
    </row>
    <row r="14" spans="1:15" ht="15.75" thickBot="1" x14ac:dyDescent="0.3">
      <c r="A14" s="49"/>
      <c r="B14" s="50"/>
      <c r="C14" s="51"/>
      <c r="D14" s="45">
        <v>1</v>
      </c>
      <c r="E14" s="46">
        <v>50</v>
      </c>
      <c r="F14" s="47">
        <f>B12/C12*D14/E14*J5</f>
        <v>19.979400000000002</v>
      </c>
      <c r="G14" s="48">
        <f t="shared" si="0"/>
        <v>2.9947017427394673</v>
      </c>
      <c r="H14" s="46">
        <v>1</v>
      </c>
      <c r="I14" s="46">
        <v>20</v>
      </c>
      <c r="J14" s="45">
        <f>(B12/C12*D14/E14*H14/I14*J5)</f>
        <v>0.99897000000000025</v>
      </c>
      <c r="K14" s="46" t="s">
        <v>19</v>
      </c>
      <c r="L14" s="48">
        <f t="shared" si="1"/>
        <v>-1E-3</v>
      </c>
      <c r="M14" s="38"/>
      <c r="N14" s="38"/>
    </row>
    <row r="15" spans="1:15" ht="15.75" thickBot="1" x14ac:dyDescent="0.3">
      <c r="A15" s="49"/>
      <c r="B15" s="50"/>
      <c r="C15" s="51"/>
      <c r="D15" s="45">
        <v>1.25</v>
      </c>
      <c r="E15" s="46">
        <v>50</v>
      </c>
      <c r="F15" s="47">
        <f>B12/C12*D15/E15*J5</f>
        <v>24.974250000000001</v>
      </c>
      <c r="G15" s="48">
        <f t="shared" si="0"/>
        <v>3.217845294053677</v>
      </c>
      <c r="H15" s="46">
        <v>1</v>
      </c>
      <c r="I15" s="46">
        <v>20</v>
      </c>
      <c r="J15" s="45">
        <f>(B12/C12*D15/E15*H15/I15*J5)</f>
        <v>1.2487124999999999</v>
      </c>
      <c r="K15" s="46" t="s">
        <v>20</v>
      </c>
      <c r="L15" s="48">
        <f t="shared" si="1"/>
        <v>0.22209999999999999</v>
      </c>
      <c r="M15" s="38"/>
      <c r="N15" s="38"/>
    </row>
    <row r="16" spans="1:15" ht="15.75" thickBot="1" x14ac:dyDescent="0.3">
      <c r="A16" s="52"/>
      <c r="B16" s="53"/>
      <c r="C16" s="54"/>
      <c r="D16" s="45">
        <v>1.56</v>
      </c>
      <c r="E16" s="46">
        <v>50</v>
      </c>
      <c r="F16" s="47">
        <f>B12/C12*D16/E16*J5</f>
        <v>31.167864000000009</v>
      </c>
      <c r="G16" s="48">
        <f t="shared" si="0"/>
        <v>3.4393875640009131</v>
      </c>
      <c r="H16" s="46">
        <v>1</v>
      </c>
      <c r="I16" s="46">
        <v>20</v>
      </c>
      <c r="J16" s="45">
        <f>(B12/C12*D16/E16*H16/I16*J5)</f>
        <v>1.5583932000000005</v>
      </c>
      <c r="K16" s="46" t="s">
        <v>21</v>
      </c>
      <c r="L16" s="48">
        <f t="shared" si="1"/>
        <v>0.44369999999999998</v>
      </c>
      <c r="M16" s="38"/>
      <c r="N16" s="38"/>
    </row>
    <row r="17" spans="1:14" ht="15.75" thickBot="1" x14ac:dyDescent="0.3">
      <c r="A17" s="27" t="s">
        <v>57</v>
      </c>
      <c r="B17" s="28"/>
      <c r="C17" s="28"/>
      <c r="D17" s="28"/>
      <c r="E17" s="28"/>
      <c r="F17" s="28"/>
      <c r="G17" s="28"/>
      <c r="H17" s="28"/>
      <c r="I17" s="28"/>
      <c r="J17" s="28"/>
      <c r="K17" s="29"/>
      <c r="L17" s="38"/>
      <c r="M17" s="38"/>
      <c r="N17" s="38"/>
    </row>
    <row r="18" spans="1:14" ht="15.75" thickBot="1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ht="15.75" thickBot="1" x14ac:dyDescent="0.3">
      <c r="A19" s="23" t="s">
        <v>15</v>
      </c>
      <c r="B19" s="24"/>
      <c r="C19" s="25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</row>
    <row r="20" spans="1:14" ht="30" customHeight="1" thickBot="1" x14ac:dyDescent="0.3">
      <c r="A20" s="41" t="s">
        <v>4</v>
      </c>
      <c r="B20" s="40" t="s">
        <v>60</v>
      </c>
      <c r="C20" s="40" t="s">
        <v>13</v>
      </c>
      <c r="D20" s="40" t="s">
        <v>13</v>
      </c>
      <c r="E20" s="40" t="s">
        <v>13</v>
      </c>
      <c r="F20" s="40" t="s">
        <v>23</v>
      </c>
      <c r="G20" s="40" t="s">
        <v>13</v>
      </c>
      <c r="H20" s="40" t="s">
        <v>14</v>
      </c>
      <c r="I20" s="40" t="s">
        <v>22</v>
      </c>
      <c r="J20" s="40" t="s">
        <v>65</v>
      </c>
      <c r="K20" s="38"/>
      <c r="L20" s="38"/>
      <c r="M20" s="38"/>
      <c r="N20" s="38"/>
    </row>
    <row r="21" spans="1:14" ht="17.25" customHeight="1" thickBot="1" x14ac:dyDescent="0.3">
      <c r="A21" s="55"/>
      <c r="B21" s="46">
        <v>1475</v>
      </c>
      <c r="C21" s="56">
        <v>50</v>
      </c>
      <c r="D21" s="57">
        <v>1</v>
      </c>
      <c r="E21" s="57">
        <v>50</v>
      </c>
      <c r="F21" s="57">
        <f>B21/C21*D21/E21*1000</f>
        <v>590</v>
      </c>
      <c r="G21" s="57">
        <v>1</v>
      </c>
      <c r="H21" s="57">
        <v>20</v>
      </c>
      <c r="I21" s="57">
        <f>F21*G21/H21</f>
        <v>29.5</v>
      </c>
      <c r="J21" s="46">
        <f>B21</f>
        <v>1475</v>
      </c>
      <c r="K21" s="38"/>
      <c r="L21" s="38"/>
      <c r="M21" s="38"/>
      <c r="N21" s="38"/>
    </row>
    <row r="22" spans="1:14" ht="17.25" customHeight="1" thickBot="1" x14ac:dyDescent="0.3">
      <c r="A22" s="55"/>
      <c r="B22" s="46">
        <v>1490</v>
      </c>
      <c r="C22" s="56">
        <v>50</v>
      </c>
      <c r="D22" s="57">
        <v>1</v>
      </c>
      <c r="E22" s="57">
        <v>50</v>
      </c>
      <c r="F22" s="57">
        <f>B21/C21*D22/E22*1000</f>
        <v>590</v>
      </c>
      <c r="G22" s="57">
        <v>1</v>
      </c>
      <c r="H22" s="57">
        <v>20</v>
      </c>
      <c r="I22" s="57">
        <f t="shared" ref="I22" si="2">F22*G22/H22</f>
        <v>29.5</v>
      </c>
      <c r="J22" s="46">
        <f t="shared" ref="J22" si="3">B22</f>
        <v>1490</v>
      </c>
      <c r="K22" s="38"/>
      <c r="L22" s="38"/>
      <c r="M22" s="38"/>
      <c r="N22" s="38"/>
    </row>
    <row r="23" spans="1:14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38"/>
      <c r="K23" s="38"/>
      <c r="L23" s="38"/>
      <c r="M23" s="38"/>
      <c r="N23" s="38"/>
    </row>
    <row r="24" spans="1:14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38"/>
      <c r="K24" s="38"/>
      <c r="L24" s="38"/>
      <c r="M24" s="38"/>
      <c r="N24" s="38"/>
    </row>
    <row r="25" spans="1:14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38"/>
      <c r="K25" s="38"/>
      <c r="L25" s="38"/>
      <c r="M25" s="38"/>
      <c r="N25" s="38"/>
    </row>
    <row r="26" spans="1:14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38"/>
      <c r="K26" s="38"/>
      <c r="L26" s="38"/>
      <c r="M26" s="38"/>
      <c r="N26" s="38"/>
    </row>
    <row r="27" spans="1:14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38"/>
      <c r="K27" s="38"/>
      <c r="L27" s="38"/>
      <c r="M27" s="38"/>
      <c r="N27" s="38"/>
    </row>
    <row r="28" spans="1:14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38"/>
      <c r="K28" s="38"/>
      <c r="L28" s="38"/>
      <c r="M28" s="38"/>
      <c r="N28" s="38"/>
    </row>
    <row r="29" spans="1:14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38"/>
      <c r="K29" s="38"/>
      <c r="L29" s="38"/>
      <c r="M29" s="38"/>
      <c r="N29" s="38"/>
    </row>
    <row r="30" spans="1:14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38"/>
      <c r="K30" s="38"/>
      <c r="L30" s="38"/>
      <c r="M30" s="38"/>
      <c r="N30" s="38"/>
    </row>
    <row r="31" spans="1:14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38"/>
      <c r="K31" s="38"/>
      <c r="L31" s="38"/>
      <c r="M31" s="38"/>
      <c r="N31" s="38"/>
    </row>
    <row r="32" spans="1:14" x14ac:dyDescent="0.25">
      <c r="A32" s="58"/>
      <c r="B32" s="59"/>
      <c r="C32" s="59"/>
      <c r="D32" s="59"/>
      <c r="E32" s="59"/>
      <c r="F32" s="59"/>
      <c r="G32" s="59"/>
      <c r="H32" s="59"/>
      <c r="I32" s="59"/>
      <c r="J32" s="38"/>
      <c r="K32" s="38"/>
      <c r="L32" s="38"/>
      <c r="M32" s="38"/>
      <c r="N32" s="38"/>
    </row>
    <row r="33" spans="1:14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38"/>
      <c r="K33" s="38"/>
      <c r="L33" s="38"/>
      <c r="M33" s="38"/>
      <c r="N33" s="38"/>
    </row>
    <row r="34" spans="1:14" ht="15.75" thickBot="1" x14ac:dyDescent="0.3">
      <c r="A34" s="58"/>
      <c r="B34" s="59"/>
      <c r="C34" s="59"/>
      <c r="D34" s="59"/>
      <c r="E34" s="59"/>
      <c r="F34" s="59"/>
      <c r="G34" s="59"/>
      <c r="H34" s="59"/>
      <c r="I34" s="59"/>
      <c r="J34" s="38"/>
      <c r="K34" s="38"/>
      <c r="L34" s="38"/>
      <c r="M34" s="38"/>
      <c r="N34" s="38"/>
    </row>
    <row r="35" spans="1:14" ht="15.75" thickBot="1" x14ac:dyDescent="0.3">
      <c r="A35" s="44" t="s">
        <v>24</v>
      </c>
      <c r="B35" s="60" t="s">
        <v>25</v>
      </c>
      <c r="C35" s="44" t="s">
        <v>26</v>
      </c>
      <c r="D35" s="61" t="s">
        <v>32</v>
      </c>
      <c r="E35" s="62"/>
      <c r="F35" s="62"/>
      <c r="G35" s="62"/>
      <c r="H35" s="63"/>
      <c r="I35" s="61" t="s">
        <v>33</v>
      </c>
      <c r="J35" s="62"/>
      <c r="K35" s="62"/>
      <c r="L35" s="62"/>
      <c r="M35" s="62"/>
      <c r="N35" s="63"/>
    </row>
    <row r="36" spans="1:14" ht="26.25" thickBot="1" x14ac:dyDescent="0.3">
      <c r="A36" s="54"/>
      <c r="B36" s="64"/>
      <c r="C36" s="54"/>
      <c r="D36" s="65" t="s">
        <v>34</v>
      </c>
      <c r="E36" s="65" t="s">
        <v>35</v>
      </c>
      <c r="F36" s="65" t="s">
        <v>36</v>
      </c>
      <c r="G36" s="65" t="s">
        <v>30</v>
      </c>
      <c r="H36" s="65" t="s">
        <v>31</v>
      </c>
      <c r="I36" s="66" t="s">
        <v>27</v>
      </c>
      <c r="J36" s="66" t="s">
        <v>28</v>
      </c>
      <c r="K36" s="66" t="s">
        <v>29</v>
      </c>
      <c r="L36" s="67" t="s">
        <v>30</v>
      </c>
      <c r="M36" s="65" t="s">
        <v>31</v>
      </c>
      <c r="N36" s="40" t="s">
        <v>40</v>
      </c>
    </row>
    <row r="37" spans="1:14" x14ac:dyDescent="0.25">
      <c r="A37" s="68" t="s">
        <v>17</v>
      </c>
      <c r="B37" s="69">
        <f>L12</f>
        <v>-0.44729999999999998</v>
      </c>
      <c r="C37" s="66">
        <v>1</v>
      </c>
      <c r="D37" s="70">
        <v>14.13</v>
      </c>
      <c r="E37" s="70">
        <v>14</v>
      </c>
      <c r="F37" s="70">
        <v>14.46</v>
      </c>
      <c r="G37" s="69">
        <f>AVERAGE(D37:F39)</f>
        <v>14.468888888888889</v>
      </c>
      <c r="H37" s="71">
        <f>STDEV(D37:F39)*100/G37</f>
        <v>2.1202411976366529</v>
      </c>
      <c r="I37" s="70">
        <v>13.21</v>
      </c>
      <c r="J37" s="70">
        <v>13.2</v>
      </c>
      <c r="K37" s="72">
        <v>13</v>
      </c>
      <c r="L37" s="73">
        <f>AVERAGE(I37:K39)</f>
        <v>13.37</v>
      </c>
      <c r="M37" s="69">
        <f>STDEV(I37:K39)*100/L37</f>
        <v>1.9218646458533426</v>
      </c>
      <c r="N37" s="69">
        <f>L37-(G37-G49)</f>
        <v>13.352777777777776</v>
      </c>
    </row>
    <row r="38" spans="1:14" x14ac:dyDescent="0.25">
      <c r="A38" s="74"/>
      <c r="B38" s="75"/>
      <c r="C38" s="76">
        <v>2</v>
      </c>
      <c r="D38" s="70">
        <v>14.51</v>
      </c>
      <c r="E38" s="70">
        <v>14.75</v>
      </c>
      <c r="F38" s="70">
        <v>14.56</v>
      </c>
      <c r="G38" s="75"/>
      <c r="H38" s="77"/>
      <c r="I38" s="70">
        <v>13.15</v>
      </c>
      <c r="J38" s="70">
        <v>13.49</v>
      </c>
      <c r="K38" s="72">
        <v>13.4</v>
      </c>
      <c r="L38" s="78"/>
      <c r="M38" s="75"/>
      <c r="N38" s="75"/>
    </row>
    <row r="39" spans="1:14" ht="15.75" thickBot="1" x14ac:dyDescent="0.3">
      <c r="A39" s="79"/>
      <c r="B39" s="80"/>
      <c r="C39" s="81">
        <v>3</v>
      </c>
      <c r="D39" s="70">
        <v>14.63</v>
      </c>
      <c r="E39" s="70">
        <v>14.96</v>
      </c>
      <c r="F39" s="70">
        <v>14.22</v>
      </c>
      <c r="G39" s="80"/>
      <c r="H39" s="82"/>
      <c r="I39" s="70">
        <v>13.46</v>
      </c>
      <c r="J39" s="70">
        <v>13.84</v>
      </c>
      <c r="K39" s="72">
        <v>13.58</v>
      </c>
      <c r="L39" s="83"/>
      <c r="M39" s="80"/>
      <c r="N39" s="80"/>
    </row>
    <row r="40" spans="1:14" x14ac:dyDescent="0.25">
      <c r="A40" s="68" t="s">
        <v>18</v>
      </c>
      <c r="B40" s="69">
        <f>L13</f>
        <v>-0.22420000000000001</v>
      </c>
      <c r="C40" s="66">
        <v>1</v>
      </c>
      <c r="D40" s="70">
        <v>14.84</v>
      </c>
      <c r="E40" s="70">
        <v>14.38</v>
      </c>
      <c r="F40" s="70">
        <v>14.33</v>
      </c>
      <c r="G40" s="69">
        <f t="shared" ref="G40" si="4">AVERAGE(D40:F42)</f>
        <v>14.653333333333332</v>
      </c>
      <c r="H40" s="69">
        <f t="shared" ref="H40" si="5">STDEV(D40:F42)*100/G40</f>
        <v>1.450081621533831</v>
      </c>
      <c r="I40" s="70">
        <v>14.5</v>
      </c>
      <c r="J40" s="70">
        <v>14.38</v>
      </c>
      <c r="K40" s="72">
        <v>14.4</v>
      </c>
      <c r="L40" s="73">
        <f t="shared" ref="L40" si="6">AVERAGE(I40:K42)</f>
        <v>14.568888888888889</v>
      </c>
      <c r="M40" s="69">
        <f t="shared" ref="M40" si="7">STDEV(I40:K42)*100/L40</f>
        <v>1.0177656240369868</v>
      </c>
      <c r="N40" s="69">
        <f>L40-(G40-G49)</f>
        <v>14.367222222222223</v>
      </c>
    </row>
    <row r="41" spans="1:14" x14ac:dyDescent="0.25">
      <c r="A41" s="74"/>
      <c r="B41" s="75"/>
      <c r="C41" s="76">
        <v>2</v>
      </c>
      <c r="D41" s="70">
        <v>14.95</v>
      </c>
      <c r="E41" s="70">
        <v>14.79</v>
      </c>
      <c r="F41" s="70">
        <v>14.7</v>
      </c>
      <c r="G41" s="75"/>
      <c r="H41" s="75"/>
      <c r="I41" s="70">
        <v>14.69</v>
      </c>
      <c r="J41" s="70">
        <v>14.76</v>
      </c>
      <c r="K41" s="72">
        <v>14.65</v>
      </c>
      <c r="L41" s="78"/>
      <c r="M41" s="75"/>
      <c r="N41" s="75"/>
    </row>
    <row r="42" spans="1:14" ht="15.75" thickBot="1" x14ac:dyDescent="0.3">
      <c r="A42" s="79"/>
      <c r="B42" s="80"/>
      <c r="C42" s="81">
        <v>3</v>
      </c>
      <c r="D42" s="70">
        <v>14.76</v>
      </c>
      <c r="E42" s="70">
        <v>14.64</v>
      </c>
      <c r="F42" s="70">
        <v>14.49</v>
      </c>
      <c r="G42" s="80"/>
      <c r="H42" s="80"/>
      <c r="I42" s="70">
        <v>14.76</v>
      </c>
      <c r="J42" s="70">
        <v>14.5</v>
      </c>
      <c r="K42" s="72">
        <v>14.48</v>
      </c>
      <c r="L42" s="83"/>
      <c r="M42" s="80"/>
      <c r="N42" s="80"/>
    </row>
    <row r="43" spans="1:14" x14ac:dyDescent="0.25">
      <c r="A43" s="68" t="s">
        <v>20</v>
      </c>
      <c r="B43" s="69">
        <f>L15</f>
        <v>0.22209999999999999</v>
      </c>
      <c r="C43" s="66">
        <v>1</v>
      </c>
      <c r="D43" s="70">
        <v>14.12</v>
      </c>
      <c r="E43" s="70">
        <v>14.55</v>
      </c>
      <c r="F43" s="70">
        <v>14.8</v>
      </c>
      <c r="G43" s="69">
        <f t="shared" ref="G43" si="8">AVERAGE(D43:F45)</f>
        <v>14.377777777777778</v>
      </c>
      <c r="H43" s="69">
        <f t="shared" ref="H43" si="9">STDEV(D43:F45)*100/G43</f>
        <v>1.7010983399858972</v>
      </c>
      <c r="I43" s="70">
        <v>15.15</v>
      </c>
      <c r="J43" s="70">
        <v>15.48</v>
      </c>
      <c r="K43" s="72">
        <v>15.1</v>
      </c>
      <c r="L43" s="73">
        <f t="shared" ref="L43" si="10">AVERAGE(I43:K45)</f>
        <v>15.41</v>
      </c>
      <c r="M43" s="69">
        <f t="shared" ref="M43" si="11">STDEV(I43:K45)*100/L43</f>
        <v>1.8624948265497936</v>
      </c>
      <c r="N43" s="69">
        <f>L43-(G43-G49)</f>
        <v>15.483888888888888</v>
      </c>
    </row>
    <row r="44" spans="1:14" x14ac:dyDescent="0.25">
      <c r="A44" s="74"/>
      <c r="B44" s="75"/>
      <c r="C44" s="76">
        <v>2</v>
      </c>
      <c r="D44" s="70">
        <v>14.31</v>
      </c>
      <c r="E44" s="70">
        <v>14.3</v>
      </c>
      <c r="F44" s="70">
        <v>14.14</v>
      </c>
      <c r="G44" s="75"/>
      <c r="H44" s="75"/>
      <c r="I44" s="70">
        <v>15.25</v>
      </c>
      <c r="J44" s="70">
        <v>15.94</v>
      </c>
      <c r="K44" s="72">
        <v>15.43</v>
      </c>
      <c r="L44" s="78"/>
      <c r="M44" s="75"/>
      <c r="N44" s="75"/>
    </row>
    <row r="45" spans="1:14" ht="15.75" thickBot="1" x14ac:dyDescent="0.3">
      <c r="A45" s="79"/>
      <c r="B45" s="80"/>
      <c r="C45" s="81">
        <v>3</v>
      </c>
      <c r="D45" s="70">
        <v>14.1</v>
      </c>
      <c r="E45" s="70">
        <v>14.48</v>
      </c>
      <c r="F45" s="70">
        <v>14.6</v>
      </c>
      <c r="G45" s="80"/>
      <c r="H45" s="80"/>
      <c r="I45" s="70">
        <v>15.36</v>
      </c>
      <c r="J45" s="70">
        <v>15.78</v>
      </c>
      <c r="K45" s="72">
        <v>15.2</v>
      </c>
      <c r="L45" s="83"/>
      <c r="M45" s="80"/>
      <c r="N45" s="80"/>
    </row>
    <row r="46" spans="1:14" x14ac:dyDescent="0.25">
      <c r="A46" s="68" t="s">
        <v>21</v>
      </c>
      <c r="B46" s="69">
        <f>L16</f>
        <v>0.44369999999999998</v>
      </c>
      <c r="C46" s="66">
        <v>1</v>
      </c>
      <c r="D46" s="70">
        <v>14</v>
      </c>
      <c r="E46" s="70">
        <v>14.6</v>
      </c>
      <c r="F46" s="70">
        <v>14.2</v>
      </c>
      <c r="G46" s="69">
        <f t="shared" ref="G46" si="12">AVERAGE(D46:F48)</f>
        <v>14.306666666666665</v>
      </c>
      <c r="H46" s="69">
        <f t="shared" ref="H46" si="13">STDEV(D46:F48)*100/G46</f>
        <v>1.4607570743713669</v>
      </c>
      <c r="I46" s="70">
        <v>16.010000000000002</v>
      </c>
      <c r="J46" s="70">
        <v>16.07</v>
      </c>
      <c r="K46" s="72">
        <v>16.14</v>
      </c>
      <c r="L46" s="73">
        <f t="shared" ref="L46" si="14">AVERAGE(I46:K48)</f>
        <v>16.145555555555557</v>
      </c>
      <c r="M46" s="69">
        <f t="shared" ref="M46" si="15">STDEV(I46:K48)*100/L46</f>
        <v>0.78717377289779122</v>
      </c>
      <c r="N46" s="69">
        <f>L46-(G46-G49)</f>
        <v>16.290555555555557</v>
      </c>
    </row>
    <row r="47" spans="1:14" x14ac:dyDescent="0.25">
      <c r="A47" s="74"/>
      <c r="B47" s="75"/>
      <c r="C47" s="76">
        <v>2</v>
      </c>
      <c r="D47" s="70">
        <v>14.5</v>
      </c>
      <c r="E47" s="70">
        <v>14.35</v>
      </c>
      <c r="F47" s="70">
        <v>14.16</v>
      </c>
      <c r="G47" s="75"/>
      <c r="H47" s="75"/>
      <c r="I47" s="70">
        <v>16.16</v>
      </c>
      <c r="J47" s="70">
        <v>16.38</v>
      </c>
      <c r="K47" s="72">
        <v>16.3</v>
      </c>
      <c r="L47" s="78"/>
      <c r="M47" s="75"/>
      <c r="N47" s="75"/>
    </row>
    <row r="48" spans="1:14" ht="15.75" thickBot="1" x14ac:dyDescent="0.3">
      <c r="A48" s="79"/>
      <c r="B48" s="80"/>
      <c r="C48" s="81">
        <v>3</v>
      </c>
      <c r="D48" s="70">
        <v>14.31</v>
      </c>
      <c r="E48" s="70">
        <v>14.1</v>
      </c>
      <c r="F48" s="70">
        <v>14.54</v>
      </c>
      <c r="G48" s="80"/>
      <c r="H48" s="80"/>
      <c r="I48" s="70">
        <v>16.079999999999998</v>
      </c>
      <c r="J48" s="70">
        <v>16</v>
      </c>
      <c r="K48" s="84">
        <v>16.170000000000002</v>
      </c>
      <c r="L48" s="83"/>
      <c r="M48" s="80"/>
      <c r="N48" s="80"/>
    </row>
    <row r="49" spans="1:14" ht="15.75" thickBot="1" x14ac:dyDescent="0.3">
      <c r="A49" s="22" t="s">
        <v>37</v>
      </c>
      <c r="B49" s="85">
        <f>L14</f>
        <v>-1E-3</v>
      </c>
      <c r="C49" s="86" t="s">
        <v>38</v>
      </c>
      <c r="D49" s="87"/>
      <c r="E49" s="87"/>
      <c r="F49" s="88"/>
      <c r="G49" s="85">
        <f>AVERAGE(G37:G48)</f>
        <v>14.451666666666666</v>
      </c>
      <c r="H49" s="89" t="s">
        <v>39</v>
      </c>
      <c r="I49" s="61"/>
      <c r="J49" s="62"/>
      <c r="K49" s="62"/>
      <c r="L49" s="62"/>
      <c r="M49" s="63"/>
      <c r="N49" s="85">
        <f>G49</f>
        <v>14.451666666666666</v>
      </c>
    </row>
    <row r="50" spans="1:14" ht="15.75" thickBot="1" x14ac:dyDescent="0.3">
      <c r="A50" s="23" t="s">
        <v>42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5"/>
    </row>
    <row r="51" spans="1:14" ht="15.75" customHeight="1" thickBot="1" x14ac:dyDescent="0.3">
      <c r="A51" s="90" t="s">
        <v>43</v>
      </c>
      <c r="B51" s="60" t="s">
        <v>25</v>
      </c>
      <c r="C51" s="44" t="s">
        <v>26</v>
      </c>
      <c r="D51" s="61" t="s">
        <v>32</v>
      </c>
      <c r="E51" s="62"/>
      <c r="F51" s="62"/>
      <c r="G51" s="62"/>
      <c r="H51" s="63"/>
      <c r="I51" s="61" t="s">
        <v>33</v>
      </c>
      <c r="J51" s="62"/>
      <c r="K51" s="62"/>
      <c r="L51" s="62"/>
      <c r="M51" s="62"/>
      <c r="N51" s="63"/>
    </row>
    <row r="52" spans="1:14" ht="15.75" customHeight="1" thickBot="1" x14ac:dyDescent="0.3">
      <c r="A52" s="91"/>
      <c r="B52" s="64"/>
      <c r="C52" s="51"/>
      <c r="D52" s="66" t="s">
        <v>34</v>
      </c>
      <c r="E52" s="66" t="s">
        <v>35</v>
      </c>
      <c r="F52" s="66" t="s">
        <v>36</v>
      </c>
      <c r="G52" s="65" t="s">
        <v>30</v>
      </c>
      <c r="H52" s="65" t="s">
        <v>31</v>
      </c>
      <c r="I52" s="66" t="s">
        <v>27</v>
      </c>
      <c r="J52" s="66" t="s">
        <v>28</v>
      </c>
      <c r="K52" s="66" t="s">
        <v>29</v>
      </c>
      <c r="L52" s="65" t="s">
        <v>30</v>
      </c>
      <c r="M52" s="65" t="s">
        <v>31</v>
      </c>
      <c r="N52" s="40" t="s">
        <v>44</v>
      </c>
    </row>
    <row r="53" spans="1:14" ht="15.75" customHeight="1" x14ac:dyDescent="0.25">
      <c r="A53" s="92"/>
      <c r="B53" s="93" t="s">
        <v>39</v>
      </c>
      <c r="C53" s="94">
        <v>1</v>
      </c>
      <c r="D53" s="95">
        <v>14.5</v>
      </c>
      <c r="E53" s="96">
        <v>14.36</v>
      </c>
      <c r="F53" s="97">
        <v>14.53</v>
      </c>
      <c r="G53" s="73">
        <f t="shared" ref="G53" si="16">AVERAGE(D53:F55)</f>
        <v>14.468888888888889</v>
      </c>
      <c r="H53" s="71">
        <f t="shared" ref="H53" si="17">STDEV(D53:F55)*100/G53</f>
        <v>1.5467619313022429</v>
      </c>
      <c r="I53" s="95">
        <v>15.27</v>
      </c>
      <c r="J53" s="96">
        <v>14.8</v>
      </c>
      <c r="K53" s="97">
        <v>15.29</v>
      </c>
      <c r="L53" s="73">
        <f t="shared" ref="L53" si="18">AVERAGE(I53:K55)</f>
        <v>15.05777777777778</v>
      </c>
      <c r="M53" s="69">
        <f t="shared" ref="M53" si="19">STDEV(I53:K55)*100/L53</f>
        <v>1.3109955685420098</v>
      </c>
      <c r="N53" s="69">
        <f>L53-(G53-G49)</f>
        <v>15.040555555555557</v>
      </c>
    </row>
    <row r="54" spans="1:14" x14ac:dyDescent="0.25">
      <c r="A54" s="98"/>
      <c r="B54" s="99"/>
      <c r="C54" s="100">
        <v>2</v>
      </c>
      <c r="D54" s="70">
        <v>14.68</v>
      </c>
      <c r="E54" s="72">
        <v>14.46</v>
      </c>
      <c r="F54" s="101">
        <v>14.28</v>
      </c>
      <c r="G54" s="78"/>
      <c r="H54" s="77"/>
      <c r="I54" s="70">
        <v>14.79</v>
      </c>
      <c r="J54" s="72">
        <v>14.99</v>
      </c>
      <c r="K54" s="101">
        <v>15.14</v>
      </c>
      <c r="L54" s="78"/>
      <c r="M54" s="75"/>
      <c r="N54" s="75"/>
    </row>
    <row r="55" spans="1:14" ht="15.75" thickBot="1" x14ac:dyDescent="0.3">
      <c r="A55" s="102"/>
      <c r="B55" s="103"/>
      <c r="C55" s="104">
        <v>3</v>
      </c>
      <c r="D55" s="105">
        <v>14.9</v>
      </c>
      <c r="E55" s="84">
        <v>14.14</v>
      </c>
      <c r="F55" s="106">
        <v>14.37</v>
      </c>
      <c r="G55" s="83"/>
      <c r="H55" s="82"/>
      <c r="I55" s="105">
        <v>15.21</v>
      </c>
      <c r="J55" s="84">
        <v>15.15</v>
      </c>
      <c r="K55" s="106">
        <v>14.88</v>
      </c>
      <c r="L55" s="83"/>
      <c r="M55" s="80"/>
      <c r="N55" s="80"/>
    </row>
    <row r="56" spans="1:14" ht="15" customHeight="1" x14ac:dyDescent="0.25">
      <c r="A56" s="107"/>
      <c r="B56" s="68" t="s">
        <v>39</v>
      </c>
      <c r="C56" s="108">
        <v>1</v>
      </c>
      <c r="D56" s="95">
        <v>14.61</v>
      </c>
      <c r="E56" s="96">
        <v>14.5</v>
      </c>
      <c r="F56" s="97">
        <v>14.46</v>
      </c>
      <c r="G56" s="73">
        <f t="shared" ref="G56" si="20">AVERAGE(D56:F58)</f>
        <v>14.564444444444446</v>
      </c>
      <c r="H56" s="71">
        <f t="shared" ref="H56" si="21">STDEV(D56:F58)*100/G56</f>
        <v>1.7315862095729655</v>
      </c>
      <c r="I56" s="95">
        <v>15.38</v>
      </c>
      <c r="J56" s="96">
        <v>15.45</v>
      </c>
      <c r="K56" s="97">
        <v>15.12</v>
      </c>
      <c r="L56" s="73">
        <f t="shared" ref="L56" si="22">AVERAGE(I56:K58)</f>
        <v>15.213333333333335</v>
      </c>
      <c r="M56" s="69">
        <f t="shared" ref="M56" si="23">STDEV(I56:K58)*100/L56</f>
        <v>1.1361340502263546</v>
      </c>
      <c r="N56" s="69">
        <f>L56-(G56-G49)</f>
        <v>15.100555555555555</v>
      </c>
    </row>
    <row r="57" spans="1:14" x14ac:dyDescent="0.25">
      <c r="A57" s="109"/>
      <c r="B57" s="74"/>
      <c r="C57" s="110">
        <v>2</v>
      </c>
      <c r="D57" s="70">
        <v>14.35</v>
      </c>
      <c r="E57" s="72">
        <v>14.38</v>
      </c>
      <c r="F57" s="101">
        <v>14.2</v>
      </c>
      <c r="G57" s="78"/>
      <c r="H57" s="77"/>
      <c r="I57" s="70">
        <v>14.97</v>
      </c>
      <c r="J57" s="72">
        <v>15.26</v>
      </c>
      <c r="K57" s="101">
        <v>15.31</v>
      </c>
      <c r="L57" s="78"/>
      <c r="M57" s="75"/>
      <c r="N57" s="75"/>
    </row>
    <row r="58" spans="1:14" ht="15.75" thickBot="1" x14ac:dyDescent="0.3">
      <c r="A58" s="111"/>
      <c r="B58" s="79"/>
      <c r="C58" s="100">
        <v>3</v>
      </c>
      <c r="D58" s="105">
        <v>14.76</v>
      </c>
      <c r="E58" s="84">
        <v>14.94</v>
      </c>
      <c r="F58" s="106">
        <v>14.88</v>
      </c>
      <c r="G58" s="83"/>
      <c r="H58" s="82"/>
      <c r="I58" s="105">
        <v>15.29</v>
      </c>
      <c r="J58" s="84">
        <v>14.95</v>
      </c>
      <c r="K58" s="106">
        <v>15.19</v>
      </c>
      <c r="L58" s="83"/>
      <c r="M58" s="80"/>
      <c r="N58" s="80"/>
    </row>
    <row r="59" spans="1:14" ht="15.75" thickBot="1" x14ac:dyDescent="0.3">
      <c r="A59" s="112"/>
      <c r="B59" s="113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</row>
    <row r="60" spans="1:14" ht="15.75" customHeight="1" thickBot="1" x14ac:dyDescent="0.3">
      <c r="A60" s="114" t="s">
        <v>45</v>
      </c>
      <c r="B60" s="115"/>
      <c r="C60" s="115"/>
      <c r="D60" s="115"/>
      <c r="E60" s="115"/>
      <c r="F60" s="115"/>
      <c r="G60" s="115"/>
      <c r="H60" s="116"/>
      <c r="I60" s="112"/>
      <c r="J60" s="112"/>
      <c r="K60" s="112"/>
      <c r="L60" s="112"/>
      <c r="M60" s="112"/>
      <c r="N60" s="112"/>
    </row>
    <row r="61" spans="1:14" ht="45.75" customHeight="1" thickBot="1" x14ac:dyDescent="0.3">
      <c r="A61" s="117" t="s">
        <v>46</v>
      </c>
      <c r="B61" s="118"/>
      <c r="C61" s="119" t="s">
        <v>47</v>
      </c>
      <c r="D61" s="119" t="s">
        <v>48</v>
      </c>
      <c r="E61" s="119" t="s">
        <v>49</v>
      </c>
      <c r="F61" s="119" t="s">
        <v>66</v>
      </c>
      <c r="G61" s="119" t="s">
        <v>67</v>
      </c>
      <c r="H61" s="119" t="s">
        <v>50</v>
      </c>
      <c r="I61" s="113"/>
      <c r="J61" s="120" t="s">
        <v>58</v>
      </c>
      <c r="K61" s="121"/>
      <c r="L61" s="121"/>
      <c r="M61" s="121"/>
      <c r="N61" s="122"/>
    </row>
    <row r="62" spans="1:14" ht="16.5" customHeight="1" thickBot="1" x14ac:dyDescent="0.3">
      <c r="A62" s="123"/>
      <c r="B62" s="124"/>
      <c r="C62" s="125">
        <f>ROUND(SLOPE(N37:N49,B37:B49),4)</f>
        <v>3.1375999999999999</v>
      </c>
      <c r="D62" s="126">
        <f>ROUND(INTERCEPT(N37:N49,B37:B49),4)</f>
        <v>14.7934</v>
      </c>
      <c r="E62" s="125">
        <f>N53</f>
        <v>15.040555555555557</v>
      </c>
      <c r="F62" s="125">
        <f>(E62-D62)/C62</f>
        <v>7.8772168394810188E-2</v>
      </c>
      <c r="G62" s="127">
        <f>EXP(F62)</f>
        <v>1.081957789807461</v>
      </c>
      <c r="H62" s="128">
        <f>G62/1000*C21/B21*E21/D21*H21/G21*J21/50*100</f>
        <v>108.1957789807461</v>
      </c>
      <c r="I62" s="129"/>
      <c r="J62" s="112"/>
      <c r="K62" s="112"/>
      <c r="L62" s="112"/>
      <c r="M62" s="112"/>
      <c r="N62" s="112"/>
    </row>
    <row r="63" spans="1:14" ht="16.5" customHeight="1" thickBot="1" x14ac:dyDescent="0.3">
      <c r="A63" s="123"/>
      <c r="B63" s="124"/>
      <c r="C63" s="125">
        <f>ROUND(SLOPE(N37:N49,B37:B49),4)</f>
        <v>3.1375999999999999</v>
      </c>
      <c r="D63" s="126">
        <f>ROUND(INTERCEPT(N37:N49,B37:B49),4)</f>
        <v>14.7934</v>
      </c>
      <c r="E63" s="125">
        <f>N56</f>
        <v>15.100555555555555</v>
      </c>
      <c r="F63" s="125">
        <f>(E63-D63)/C63</f>
        <v>9.7895064876196841E-2</v>
      </c>
      <c r="G63" s="127">
        <f t="shared" ref="G63" si="24">EXP(F63)</f>
        <v>1.1028470516444611</v>
      </c>
      <c r="H63" s="128">
        <f>G63/1000*C22/B22*E22/D22*H22/G22*J22/50*100</f>
        <v>110.28470516444608</v>
      </c>
      <c r="I63" s="129"/>
      <c r="J63" s="112"/>
      <c r="K63" s="112"/>
      <c r="L63" s="112"/>
      <c r="M63" s="112"/>
      <c r="N63" s="112"/>
    </row>
    <row r="64" spans="1:14" x14ac:dyDescent="0.25">
      <c r="A64" s="112"/>
      <c r="B64" s="130"/>
      <c r="C64" s="130"/>
      <c r="D64" s="130"/>
      <c r="E64" s="130"/>
      <c r="F64" s="130"/>
      <c r="G64" s="130"/>
      <c r="H64" s="130"/>
      <c r="I64" s="130"/>
      <c r="J64" s="112"/>
      <c r="K64" s="130"/>
      <c r="L64" s="130"/>
      <c r="M64" s="130"/>
      <c r="N64" s="112"/>
    </row>
    <row r="65" spans="1:14" x14ac:dyDescent="0.2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</row>
    <row r="66" spans="1:14" x14ac:dyDescent="0.25">
      <c r="A66" s="131" t="s">
        <v>52</v>
      </c>
      <c r="B66" s="112"/>
      <c r="C66" s="112"/>
      <c r="D66" s="112"/>
      <c r="E66" s="112"/>
      <c r="F66" s="112"/>
      <c r="G66" s="112"/>
      <c r="H66" s="112"/>
      <c r="I66" s="112"/>
      <c r="J66" s="131" t="s">
        <v>51</v>
      </c>
      <c r="K66" s="112"/>
      <c r="L66" s="112"/>
      <c r="M66" s="112"/>
      <c r="N66" s="112"/>
    </row>
  </sheetData>
  <mergeCells count="77">
    <mergeCell ref="A40:A42"/>
    <mergeCell ref="G43:G45"/>
    <mergeCell ref="A46:A48"/>
    <mergeCell ref="A19:C19"/>
    <mergeCell ref="D51:H51"/>
    <mergeCell ref="I51:N51"/>
    <mergeCell ref="I49:M49"/>
    <mergeCell ref="B46:B48"/>
    <mergeCell ref="G46:G48"/>
    <mergeCell ref="B40:B42"/>
    <mergeCell ref="G40:G42"/>
    <mergeCell ref="H40:H42"/>
    <mergeCell ref="M40:M42"/>
    <mergeCell ref="H43:H45"/>
    <mergeCell ref="L43:L45"/>
    <mergeCell ref="L40:L42"/>
    <mergeCell ref="A51:A52"/>
    <mergeCell ref="A35:A36"/>
    <mergeCell ref="I35:N35"/>
    <mergeCell ref="A43:A45"/>
    <mergeCell ref="I2:L2"/>
    <mergeCell ref="J6:L6"/>
    <mergeCell ref="A10:C10"/>
    <mergeCell ref="A12:A16"/>
    <mergeCell ref="B12:B16"/>
    <mergeCell ref="B7:G7"/>
    <mergeCell ref="B8:G8"/>
    <mergeCell ref="C12:C16"/>
    <mergeCell ref="J5:L5"/>
    <mergeCell ref="B35:B36"/>
    <mergeCell ref="C35:C36"/>
    <mergeCell ref="D35:H35"/>
    <mergeCell ref="B43:B45"/>
    <mergeCell ref="C51:C52"/>
    <mergeCell ref="G53:G55"/>
    <mergeCell ref="A1:O1"/>
    <mergeCell ref="M37:M39"/>
    <mergeCell ref="N37:N39"/>
    <mergeCell ref="A37:A39"/>
    <mergeCell ref="B37:B39"/>
    <mergeCell ref="G37:G39"/>
    <mergeCell ref="H37:H39"/>
    <mergeCell ref="L37:L39"/>
    <mergeCell ref="A2:G2"/>
    <mergeCell ref="B3:G3"/>
    <mergeCell ref="B4:G4"/>
    <mergeCell ref="B5:G5"/>
    <mergeCell ref="B6:G6"/>
    <mergeCell ref="A17:K17"/>
    <mergeCell ref="B53:B55"/>
    <mergeCell ref="H46:H48"/>
    <mergeCell ref="C49:F49"/>
    <mergeCell ref="N40:N42"/>
    <mergeCell ref="N46:N48"/>
    <mergeCell ref="M43:M45"/>
    <mergeCell ref="N43:N45"/>
    <mergeCell ref="L46:L48"/>
    <mergeCell ref="M46:M48"/>
    <mergeCell ref="M53:M55"/>
    <mergeCell ref="H53:H55"/>
    <mergeCell ref="L53:L55"/>
    <mergeCell ref="N53:N55"/>
    <mergeCell ref="A50:N50"/>
    <mergeCell ref="A53:A55"/>
    <mergeCell ref="B51:B52"/>
    <mergeCell ref="A56:A58"/>
    <mergeCell ref="N56:N58"/>
    <mergeCell ref="A63:B63"/>
    <mergeCell ref="A60:H60"/>
    <mergeCell ref="A61:B61"/>
    <mergeCell ref="A62:B62"/>
    <mergeCell ref="L56:L58"/>
    <mergeCell ref="M56:M58"/>
    <mergeCell ref="J61:N61"/>
    <mergeCell ref="G56:G58"/>
    <mergeCell ref="H56:H58"/>
    <mergeCell ref="B56:B58"/>
  </mergeCells>
  <pageMargins left="5.0104166666666665E-2" right="0.70866141732283472" top="0.28000000000000003" bottom="0.74803149606299213" header="0.31496062992125984" footer="0.31496062992125984"/>
  <pageSetup paperSize="9" scale="3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2" operator="between" id="{2DD0A8CA-1A9C-4617-AFB3-7B4245E190A6}">
            <xm:f>'C:\Users\nayan.shah\Documents\Calacccculation sheet\26280916\[Amphotericin Precision Calculation Sheet final Finished final 26280916 _Set-16.xlsx]Sheet2'!#REF!</xm:f>
            <xm:f>'C:\Users\nayan.shah\Documents\Calacccculation sheet\26280916\[Amphotericin Precision Calculation Sheet final Finished final 26280916 _Set-16.xlsx]Sheet2'!#REF!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D56:F58</xm:sqref>
        </x14:conditionalFormatting>
        <x14:conditionalFormatting xmlns:xm="http://schemas.microsoft.com/office/excel/2006/main">
          <x14:cfRule type="cellIs" priority="21" operator="between" id="{47174902-F9C6-493B-B89A-A3878C00AD71}">
            <xm:f>'C:\Users\nayan.shah\Documents\Calacccculation sheet\26280916\[Amphotericin Precision Calculation Sheet final Finished final 26280916 _Set-16.xlsx]Sheet2'!#REF!</xm:f>
            <xm:f>'C:\Users\nayan.shah\Documents\Calacccculation sheet\26280916\[Amphotericin Precision Calculation Sheet final Finished final 26280916 _Set-16.xlsx]Sheet2'!#REF!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I53:K55</xm:sqref>
        </x14:conditionalFormatting>
        <x14:conditionalFormatting xmlns:xm="http://schemas.microsoft.com/office/excel/2006/main">
          <x14:cfRule type="cellIs" priority="20" operator="between" id="{34EDD349-213C-4442-966E-762DBB426906}">
            <xm:f>'C:\Users\nayan.shah\Documents\Calacccculation sheet\26280916\[Amphotericin Precision Calculation Sheet final Finished final 26280916 _Set-16.xlsx]Sheet2'!#REF!</xm:f>
            <xm:f>'C:\Users\nayan.shah\Documents\Calacccculation sheet\26280916\[Amphotericin Precision Calculation Sheet final Finished final 26280916 _Set-16.xlsx]Sheet2'!#REF!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I56:K58</xm:sqref>
        </x14:conditionalFormatting>
        <x14:conditionalFormatting xmlns:xm="http://schemas.microsoft.com/office/excel/2006/main">
          <x14:cfRule type="cellIs" priority="19" operator="between" id="{68F08444-96CE-43F3-AEFD-3373FF87BAA0}">
            <xm:f>'C:\Users\nayan.shah\Documents\Calacccculation sheet\26280916\[Amphotericin Precision Calculation Sheet final Finished final 26280916 _Set-16.xlsx]Sheet2'!#REF!</xm:f>
            <xm:f>'C:\Users\nayan.shah\Documents\Calacccculation sheet\26280916\[Amphotericin Precision Calculation Sheet final Finished final 26280916 _Set-16.xlsx]Sheet2'!#REF!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D53:F55</xm:sqref>
        </x14:conditionalFormatting>
        <x14:conditionalFormatting xmlns:xm="http://schemas.microsoft.com/office/excel/2006/main">
          <x14:cfRule type="cellIs" priority="18" operator="between" id="{24326ABC-4783-43CB-A218-2A146D1D7E7C}">
            <xm:f>'C:\Users\nayan.shah\Documents\Calacccculation sheet\26280916\[Amphotericin Precision Calculation Sheet final Finished final 26280916 _Set-16.xlsx]Sheet2'!#REF!</xm:f>
            <xm:f>'C:\Users\nayan.shah\Documents\Calacccculation sheet\26280916\[Amphotericin Precision Calculation Sheet final Finished final 26280916 _Set-16.xlsx]Sheet2'!#REF!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</xm:sqref>
        </x14:conditionalFormatting>
        <x14:conditionalFormatting xmlns:xm="http://schemas.microsoft.com/office/excel/2006/main">
          <x14:cfRule type="cellIs" priority="2" operator="between" id="{AA4DCFE9-55DA-4204-A6B9-01430F3E9E07}">
            <xm:f>'C:\Users\nayan.shah\Documents\Calacccculation sheet\26280916\[Amphotericin Precision Calculation Sheet final Finished final 26280916 _Set-16.xlsx]Sheet2'!#REF!</xm:f>
            <xm:f>'C:\Users\nayan.shah\Documents\Calacccculation sheet\26280916\[Amphotericin Precision Calculation Sheet final Finished final 26280916 _Set-16.xlsx]Sheet2'!#REF!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D37:F48</xm:sqref>
        </x14:conditionalFormatting>
        <x14:conditionalFormatting xmlns:xm="http://schemas.microsoft.com/office/excel/2006/main">
          <x14:cfRule type="cellIs" priority="1" operator="between" id="{B2F608D2-1FF2-4C6C-AFC0-C4FD7C48997F}">
            <xm:f>'C:\Users\nayan.shah\Documents\Calacccculation sheet\26280916\[Amphotericin Precision Calculation Sheet final Finished final 26280916 _Set-16.xlsx]Sheet2'!#REF!</xm:f>
            <xm:f>'C:\Users\nayan.shah\Documents\Calacccculation sheet\26280916\[Amphotericin Precision Calculation Sheet final Finished final 26280916 _Set-16.xlsx]Sheet2'!#REF!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I37:K48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E10"/>
  <sheetViews>
    <sheetView workbookViewId="0">
      <selection activeCell="E16" sqref="E16"/>
    </sheetView>
  </sheetViews>
  <sheetFormatPr defaultRowHeight="15" x14ac:dyDescent="0.25"/>
  <cols>
    <col min="1" max="1" width="17.140625" customWidth="1"/>
    <col min="4" max="4" width="22" customWidth="1"/>
    <col min="5" max="5" width="30.42578125" customWidth="1"/>
  </cols>
  <sheetData>
    <row r="2" spans="4:5" ht="15.75" thickBot="1" x14ac:dyDescent="0.3"/>
    <row r="3" spans="4:5" ht="15.75" thickBot="1" x14ac:dyDescent="0.3">
      <c r="D3" s="3"/>
      <c r="E3" s="4"/>
    </row>
    <row r="4" spans="4:5" x14ac:dyDescent="0.25">
      <c r="D4" s="4" t="s">
        <v>25</v>
      </c>
      <c r="E4" s="5" t="s">
        <v>53</v>
      </c>
    </row>
    <row r="5" spans="4:5" x14ac:dyDescent="0.25">
      <c r="D5" s="6">
        <f>'Final Bioassay sheet '!L12</f>
        <v>-0.44729999999999998</v>
      </c>
      <c r="E5" s="6">
        <f>'Final Bioassay sheet '!N37</f>
        <v>13.352777777777776</v>
      </c>
    </row>
    <row r="6" spans="4:5" x14ac:dyDescent="0.25">
      <c r="D6" s="6">
        <f>'Final Bioassay sheet '!L13</f>
        <v>-0.22420000000000001</v>
      </c>
      <c r="E6" s="6">
        <f>'Final Bioassay sheet '!N40</f>
        <v>14.367222222222223</v>
      </c>
    </row>
    <row r="7" spans="4:5" x14ac:dyDescent="0.25">
      <c r="D7" s="6">
        <f>'Final Bioassay sheet '!L14</f>
        <v>-1E-3</v>
      </c>
      <c r="E7" s="6">
        <f>'Final Bioassay sheet '!G49</f>
        <v>14.451666666666666</v>
      </c>
    </row>
    <row r="8" spans="4:5" x14ac:dyDescent="0.25">
      <c r="D8" s="6">
        <f>'Final Bioassay sheet '!L15</f>
        <v>0.22209999999999999</v>
      </c>
      <c r="E8" s="6">
        <f>'Final Bioassay sheet '!N43</f>
        <v>15.483888888888888</v>
      </c>
    </row>
    <row r="9" spans="4:5" x14ac:dyDescent="0.25">
      <c r="D9" s="6">
        <f>'Final Bioassay sheet '!L16</f>
        <v>0.44369999999999998</v>
      </c>
      <c r="E9" s="6">
        <f>'Final Bioassay sheet '!N46</f>
        <v>16.290555555555557</v>
      </c>
    </row>
    <row r="10" spans="4:5" x14ac:dyDescent="0.25">
      <c r="D10" s="5"/>
      <c r="E10" s="5"/>
    </row>
  </sheetData>
  <sheetProtection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Final Bioassay sheet </vt:lpstr>
      <vt:lpstr>Sheet2</vt:lpstr>
      <vt:lpstr>'Final Bioassay sheet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Nayan</dc:creator>
  <cp:lastModifiedBy>Patel, Deepmala</cp:lastModifiedBy>
  <cp:lastPrinted>2025-05-06T10:15:11Z</cp:lastPrinted>
  <dcterms:created xsi:type="dcterms:W3CDTF">2016-06-02T04:18:05Z</dcterms:created>
  <dcterms:modified xsi:type="dcterms:W3CDTF">2026-06-24T09:42:38Z</dcterms:modified>
</cp:coreProperties>
</file>