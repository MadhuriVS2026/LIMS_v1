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665" tabRatio="788"/>
  </bookViews>
  <sheets>
    <sheet name="Test product" sheetId="59" r:id="rId1"/>
  </sheets>
  <definedNames>
    <definedName name="_xlnm.Print_Area" localSheetId="0">'Test product'!$A$1:$U$60</definedName>
  </definedNames>
  <calcPr calcId="162913"/>
</workbook>
</file>

<file path=xl/calcChain.xml><?xml version="1.0" encoding="utf-8"?>
<calcChain xmlns="http://schemas.openxmlformats.org/spreadsheetml/2006/main">
  <c r="R56" i="59" l="1"/>
  <c r="S56" i="59" s="1"/>
  <c r="R54" i="59"/>
  <c r="S54" i="59" s="1"/>
  <c r="R52" i="59"/>
  <c r="S52" i="59" s="1"/>
  <c r="R50" i="59"/>
  <c r="S50" i="59" s="1"/>
  <c r="R48" i="59"/>
  <c r="S48" i="59" s="1"/>
  <c r="R46" i="59"/>
  <c r="S46" i="59" s="1"/>
  <c r="R44" i="59"/>
  <c r="S44" i="59" s="1"/>
  <c r="R42" i="59"/>
  <c r="S42" i="59" s="1"/>
  <c r="R40" i="59"/>
  <c r="S40" i="59" s="1"/>
  <c r="R38" i="59"/>
  <c r="S38" i="59" s="1"/>
  <c r="R36" i="59"/>
  <c r="S36" i="59" s="1"/>
  <c r="R34" i="59"/>
  <c r="S34" i="59" s="1"/>
  <c r="B29" i="59"/>
  <c r="J28" i="59"/>
  <c r="J29" i="59" s="1"/>
  <c r="F28" i="59"/>
  <c r="F29" i="59" s="1"/>
  <c r="B28" i="59"/>
  <c r="J27" i="59"/>
  <c r="C25" i="59" s="1"/>
  <c r="F27" i="59"/>
  <c r="K21" i="59" s="1"/>
  <c r="B27" i="59"/>
  <c r="G26" i="59"/>
  <c r="C26" i="59"/>
  <c r="G25" i="59"/>
  <c r="C22" i="59"/>
  <c r="G21" i="59"/>
  <c r="C21" i="59"/>
  <c r="F19" i="59"/>
  <c r="J19" i="59" s="1"/>
  <c r="K17" i="59"/>
  <c r="G22" i="59" l="1"/>
  <c r="C23" i="59"/>
  <c r="C27" i="59" s="1"/>
  <c r="G23" i="59"/>
  <c r="C28" i="59"/>
  <c r="C24" i="59"/>
  <c r="G24" i="59"/>
  <c r="G28" i="59" s="1"/>
  <c r="G27" i="59" l="1"/>
  <c r="G29" i="59" s="1"/>
  <c r="T38" i="59"/>
  <c r="T50" i="59"/>
  <c r="T34" i="59"/>
  <c r="T42" i="59"/>
  <c r="T40" i="59"/>
  <c r="T36" i="59"/>
  <c r="T46" i="59"/>
  <c r="T48" i="59"/>
  <c r="T56" i="59"/>
  <c r="T52" i="59"/>
  <c r="T54" i="59"/>
  <c r="U54" i="59" s="1"/>
  <c r="T44" i="59"/>
  <c r="C29" i="59"/>
  <c r="U50" i="59" l="1"/>
  <c r="U46" i="59"/>
  <c r="U42" i="59"/>
  <c r="U38" i="59"/>
  <c r="U34" i="59"/>
</calcChain>
</file>

<file path=xl/sharedStrings.xml><?xml version="1.0" encoding="utf-8"?>
<sst xmlns="http://schemas.openxmlformats.org/spreadsheetml/2006/main" count="132" uniqueCount="72">
  <si>
    <t>Mean</t>
  </si>
  <si>
    <t>SD</t>
  </si>
  <si>
    <t>% RSD</t>
  </si>
  <si>
    <t>Injection No.</t>
  </si>
  <si>
    <t>Vol</t>
  </si>
  <si>
    <t>Pip</t>
  </si>
  <si>
    <t>Sample Weight</t>
  </si>
  <si>
    <t>Avg Weight</t>
  </si>
  <si>
    <t>LC</t>
  </si>
  <si>
    <t>Area</t>
  </si>
  <si>
    <t>Avg. Area</t>
  </si>
  <si>
    <t>BKT Injection No.</t>
  </si>
  <si>
    <t>TRF No.</t>
  </si>
  <si>
    <t>AR No.</t>
  </si>
  <si>
    <t>Weight in mg</t>
  </si>
  <si>
    <t>Date</t>
  </si>
  <si>
    <t>Checked By</t>
  </si>
  <si>
    <t>Analyzed By</t>
  </si>
  <si>
    <t>Packing Detail</t>
  </si>
  <si>
    <t>Stability Condition</t>
  </si>
  <si>
    <t>Batch No.</t>
  </si>
  <si>
    <t>Potency</t>
  </si>
  <si>
    <t>Standard Detail</t>
  </si>
  <si>
    <t>BKT Standard Detail</t>
  </si>
  <si>
    <t>R &amp; D Gandhinagar</t>
  </si>
  <si>
    <t>Analytical Development</t>
  </si>
  <si>
    <t>Generic Name</t>
  </si>
  <si>
    <t>Product Name</t>
  </si>
  <si>
    <t>Test</t>
  </si>
  <si>
    <t>Analysis as per</t>
  </si>
  <si>
    <t>Analysed By</t>
  </si>
  <si>
    <t>Instrument Id.</t>
  </si>
  <si>
    <t>Date of Analysis</t>
  </si>
  <si>
    <t>Standard Details</t>
  </si>
  <si>
    <t>Sample Details</t>
  </si>
  <si>
    <t>Compound Name</t>
  </si>
  <si>
    <t>Assay Calculation Sheet</t>
  </si>
  <si>
    <t>Emcure</t>
  </si>
  <si>
    <t>M.W of Base</t>
  </si>
  <si>
    <t>M.W. of Salt</t>
  </si>
  <si>
    <t>Corrected Avg. Area</t>
  </si>
  <si>
    <t>Blank Area</t>
  </si>
  <si>
    <t>Corrected Area</t>
  </si>
  <si>
    <t xml:space="preserve"> </t>
  </si>
  <si>
    <t>AD/IC/001</t>
  </si>
  <si>
    <t>% Interference</t>
  </si>
  <si>
    <t>Glass vial</t>
  </si>
  <si>
    <t>mg/vial</t>
  </si>
  <si>
    <t>SET-1</t>
  </si>
  <si>
    <t>Amphotericin B Liposome for injection 50 mg/vial</t>
  </si>
  <si>
    <t>Sodium chloride</t>
  </si>
  <si>
    <t>Area-1</t>
  </si>
  <si>
    <t>Area-2</t>
  </si>
  <si>
    <t>Avg. Result</t>
  </si>
  <si>
    <t>Conc. (ppm)</t>
  </si>
  <si>
    <t>Sodium content</t>
  </si>
  <si>
    <t>Sodium</t>
  </si>
  <si>
    <t>Milan suthar</t>
  </si>
  <si>
    <t>SET-2</t>
  </si>
  <si>
    <t>07-15-2023</t>
  </si>
  <si>
    <t>TRF_040-24-80</t>
  </si>
  <si>
    <t>AD/006/24/0458</t>
  </si>
  <si>
    <t>TRF_040-24-81</t>
  </si>
  <si>
    <t>TRF_040-24-82</t>
  </si>
  <si>
    <t>AD/006/24/0460</t>
  </si>
  <si>
    <t>TRF_040-24-83</t>
  </si>
  <si>
    <t>AD/006/24/0461</t>
  </si>
  <si>
    <t>TRF_040-24-84</t>
  </si>
  <si>
    <t>AD/006/24/0462</t>
  </si>
  <si>
    <t>TRF_040-24-85</t>
  </si>
  <si>
    <t>AD/006/24/0463</t>
  </si>
  <si>
    <t>AD/006/24/0459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</si>
</sst>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"/>
    <numFmt numFmtId="166" formatCode="0.00000"/>
    <numFmt numFmtId="167" formatCode="0.0000"/>
  </numFmts>
  <fonts count="6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4" xfId="0" applyFont="1" applyFill="1" applyBorder="1" applyAlignment="1" applyProtection="1">
      <alignment vertical="center"/>
      <protection hidden="1"/>
    </xf>
    <xf numFmtId="0" fontId="3" fillId="0" borderId="4" xfId="0" applyFont="1" applyFill="1" applyBorder="1" applyAlignment="1" applyProtection="1">
      <alignment horizontal="left" vertical="center"/>
      <protection hidden="1"/>
    </xf>
    <xf numFmtId="0" fontId="4" fillId="2" borderId="1" xfId="0" applyFont="1" applyFill="1" applyBorder="1" applyAlignment="1" applyProtection="1">
      <alignment horizontal="center"/>
      <protection locked="0"/>
    </xf>
    <xf numFmtId="167" fontId="4" fillId="2" borderId="1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Fill="1" applyProtection="1">
      <protection hidden="1"/>
    </xf>
    <xf numFmtId="0" fontId="4" fillId="0" borderId="0" xfId="0" applyFont="1" applyFill="1" applyBorder="1" applyProtection="1">
      <protection hidden="1"/>
    </xf>
    <xf numFmtId="0" fontId="4" fillId="0" borderId="0" xfId="0" applyFont="1" applyFill="1" applyProtection="1"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4" fillId="2" borderId="3" xfId="0" applyFont="1" applyFill="1" applyBorder="1" applyAlignment="1" applyProtection="1">
      <alignment horizontal="center" vertical="center" wrapText="1"/>
      <protection locked="0" hidden="1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 applyProtection="1">
      <alignment horizontal="left" wrapText="1"/>
      <protection hidden="1"/>
    </xf>
    <xf numFmtId="0" fontId="4" fillId="0" borderId="0" xfId="0" applyFont="1" applyFill="1" applyBorder="1" applyAlignment="1" applyProtection="1">
      <alignment horizontal="left" wrapText="1"/>
      <protection hidden="1"/>
    </xf>
    <xf numFmtId="0" fontId="3" fillId="0" borderId="4" xfId="0" applyFont="1" applyFill="1" applyBorder="1" applyAlignment="1" applyProtection="1">
      <alignment vertical="center" wrapText="1"/>
      <protection hidden="1"/>
    </xf>
    <xf numFmtId="167" fontId="4" fillId="0" borderId="1" xfId="0" applyNumberFormat="1" applyFont="1" applyFill="1" applyBorder="1" applyAlignment="1" applyProtection="1">
      <alignment horizontal="center"/>
      <protection hidden="1"/>
    </xf>
    <xf numFmtId="0" fontId="3" fillId="0" borderId="4" xfId="0" applyFont="1" applyFill="1" applyBorder="1" applyAlignment="1" applyProtection="1">
      <alignment horizontal="center" vertical="center"/>
      <protection hidden="1"/>
    </xf>
    <xf numFmtId="164" fontId="4" fillId="0" borderId="1" xfId="0" applyNumberFormat="1" applyFont="1" applyFill="1" applyBorder="1" applyAlignment="1" applyProtection="1">
      <alignment horizontal="center"/>
      <protection hidden="1"/>
    </xf>
    <xf numFmtId="164" fontId="4" fillId="0" borderId="4" xfId="0" applyNumberFormat="1" applyFont="1" applyFill="1" applyBorder="1" applyAlignment="1" applyProtection="1">
      <alignment horizontal="center"/>
      <protection hidden="1"/>
    </xf>
    <xf numFmtId="0" fontId="4" fillId="0" borderId="0" xfId="0" applyFont="1" applyFill="1" applyAlignment="1" applyProtection="1">
      <alignment vertical="center"/>
      <protection hidden="1"/>
    </xf>
    <xf numFmtId="0" fontId="4" fillId="0" borderId="0" xfId="0" applyFont="1" applyFill="1" applyAlignment="1" applyProtection="1">
      <alignment horizontal="center" vertical="center"/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locked="0" hidden="1"/>
    </xf>
    <xf numFmtId="0" fontId="1" fillId="2" borderId="0" xfId="0" applyFont="1" applyFill="1" applyBorder="1" applyAlignment="1" applyProtection="1">
      <alignment horizontal="left" vertical="center"/>
      <protection locked="0"/>
    </xf>
    <xf numFmtId="0" fontId="4" fillId="0" borderId="1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/>
      <protection locked="0" hidden="1"/>
    </xf>
    <xf numFmtId="167" fontId="4" fillId="0" borderId="1" xfId="0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Fill="1" applyBorder="1" applyAlignment="1" applyProtection="1">
      <alignment horizontal="center"/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3" fillId="0" borderId="1" xfId="0" applyFont="1" applyFill="1" applyBorder="1" applyAlignment="1" applyProtection="1">
      <alignment horizontal="center" vertical="center"/>
      <protection hidden="1"/>
    </xf>
    <xf numFmtId="0" fontId="5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1" fillId="2" borderId="4" xfId="0" applyFont="1" applyFill="1" applyBorder="1" applyAlignment="1" applyProtection="1">
      <alignment horizontal="left" vertical="center"/>
      <protection locked="0"/>
    </xf>
    <xf numFmtId="0" fontId="1" fillId="2" borderId="6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14" fontId="1" fillId="2" borderId="4" xfId="0" applyNumberFormat="1" applyFont="1" applyFill="1" applyBorder="1" applyAlignment="1" applyProtection="1">
      <alignment horizontal="left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hidden="1"/>
    </xf>
    <xf numFmtId="0" fontId="5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4" fillId="0" borderId="0" xfId="0" applyFont="1" applyFill="1" applyBorder="1" applyAlignment="1" applyProtection="1">
      <alignment vertical="center" wrapText="1"/>
      <protection hidden="1"/>
    </xf>
    <xf numFmtId="0" fontId="4" fillId="0" borderId="0" xfId="0" applyFont="1" applyFill="1" applyBorder="1" applyAlignment="1" applyProtection="1">
      <alignment horizontal="center"/>
      <protection hidden="1"/>
    </xf>
    <xf numFmtId="2" fontId="3" fillId="0" borderId="7" xfId="0" applyNumberFormat="1" applyFont="1" applyFill="1" applyBorder="1" applyAlignment="1" applyProtection="1">
      <alignment horizontal="center" vertical="center"/>
      <protection hidden="1"/>
    </xf>
    <xf numFmtId="2" fontId="3" fillId="0" borderId="9" xfId="0" applyNumberFormat="1" applyFont="1" applyFill="1" applyBorder="1" applyAlignment="1" applyProtection="1">
      <alignment horizontal="center" vertical="center"/>
      <protection hidden="1"/>
    </xf>
    <xf numFmtId="2" fontId="3" fillId="0" borderId="8" xfId="0" applyNumberFormat="1" applyFont="1" applyFill="1" applyBorder="1" applyAlignment="1" applyProtection="1">
      <alignment horizontal="center" vertical="center"/>
      <protection hidden="1"/>
    </xf>
    <xf numFmtId="0" fontId="3" fillId="0" borderId="2" xfId="0" applyFont="1" applyFill="1" applyBorder="1" applyAlignment="1" applyProtection="1">
      <alignment horizontal="center" vertical="center"/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165" fontId="4" fillId="2" borderId="7" xfId="0" applyNumberFormat="1" applyFont="1" applyFill="1" applyBorder="1" applyAlignment="1" applyProtection="1">
      <alignment horizontal="center" vertical="center" wrapText="1"/>
      <protection locked="0"/>
    </xf>
    <xf numFmtId="165" fontId="4" fillId="2" borderId="8" xfId="0" applyNumberFormat="1" applyFont="1" applyFill="1" applyBorder="1" applyAlignment="1" applyProtection="1">
      <alignment horizontal="center" vertical="center" wrapText="1"/>
      <protection locked="0"/>
    </xf>
    <xf numFmtId="167" fontId="4" fillId="0" borderId="1" xfId="0" applyNumberFormat="1" applyFont="1" applyFill="1" applyBorder="1" applyAlignment="1" applyProtection="1">
      <alignment horizontal="center" vertical="center"/>
      <protection hidden="1"/>
    </xf>
    <xf numFmtId="2" fontId="3" fillId="0" borderId="1" xfId="0" applyNumberFormat="1" applyFont="1" applyFill="1" applyBorder="1" applyAlignment="1" applyProtection="1">
      <alignment horizontal="center" vertical="center"/>
      <protection hidden="1"/>
    </xf>
    <xf numFmtId="166" fontId="4" fillId="2" borderId="7" xfId="0" applyNumberFormat="1" applyFont="1" applyFill="1" applyBorder="1" applyAlignment="1" applyProtection="1">
      <alignment horizontal="center" vertical="center" wrapText="1"/>
      <protection locked="0"/>
    </xf>
    <xf numFmtId="166" fontId="4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167" fontId="4" fillId="2" borderId="7" xfId="0" applyNumberFormat="1" applyFont="1" applyFill="1" applyBorder="1" applyAlignment="1" applyProtection="1">
      <alignment horizontal="center" vertical="center" wrapText="1"/>
      <protection locked="0"/>
    </xf>
    <xf numFmtId="167" fontId="4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7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66"/>
      <color rgb="FFB8CCE4"/>
      <color rgb="FFFCD5B4"/>
      <color rgb="FFFF99CC"/>
      <color rgb="FF92D05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1"/>
  <sheetViews>
    <sheetView tabSelected="1" topLeftCell="A7" zoomScale="55" zoomScaleNormal="55" zoomScaleSheetLayoutView="50" workbookViewId="0">
      <selection activeCell="E19" sqref="E19"/>
    </sheetView>
  </sheetViews>
  <sheetFormatPr defaultRowHeight="17.100000000000001" customHeight="1" x14ac:dyDescent="0.25"/>
  <cols>
    <col min="1" max="1" width="27.140625" style="7" customWidth="1"/>
    <col min="2" max="2" width="16.7109375" style="7" customWidth="1"/>
    <col min="3" max="3" width="17.85546875" style="7" customWidth="1"/>
    <col min="4" max="4" width="22.28515625" style="7" customWidth="1"/>
    <col min="5" max="5" width="25" style="7" customWidth="1"/>
    <col min="6" max="6" width="14.42578125" style="7" customWidth="1"/>
    <col min="7" max="7" width="17.42578125" style="7" customWidth="1"/>
    <col min="8" max="8" width="16.5703125" style="8" customWidth="1"/>
    <col min="9" max="9" width="18.85546875" style="7" customWidth="1"/>
    <col min="10" max="10" width="12.7109375" style="7" customWidth="1"/>
    <col min="11" max="11" width="19.28515625" style="7" customWidth="1"/>
    <col min="12" max="12" width="13.42578125" style="7" customWidth="1"/>
    <col min="13" max="15" width="13.140625" style="7" customWidth="1"/>
    <col min="16" max="17" width="15.140625" style="7" customWidth="1"/>
    <col min="18" max="18" width="14.85546875" style="7" customWidth="1"/>
    <col min="19" max="19" width="18" style="7" customWidth="1"/>
    <col min="20" max="21" width="14" style="7" customWidth="1"/>
    <col min="22" max="16384" width="9.140625" style="7"/>
  </cols>
  <sheetData>
    <row r="1" spans="1:21" s="5" customFormat="1" ht="22.5" customHeight="1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29"/>
    </row>
    <row r="2" spans="1:21" s="5" customFormat="1" ht="17.100000000000001" customHeight="1" x14ac:dyDescent="0.25">
      <c r="A2" s="37" t="s">
        <v>24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0"/>
    </row>
    <row r="3" spans="1:21" s="5" customFormat="1" ht="17.100000000000001" customHeight="1" x14ac:dyDescent="0.25">
      <c r="A3" s="37" t="s">
        <v>25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0"/>
    </row>
    <row r="4" spans="1:21" s="5" customFormat="1" ht="17.100000000000001" customHeight="1" x14ac:dyDescent="0.25">
      <c r="A4" s="37" t="s">
        <v>36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0"/>
    </row>
    <row r="5" spans="1:21" ht="17.100000000000001" customHeight="1" x14ac:dyDescent="0.25">
      <c r="A5" s="6"/>
      <c r="B5" s="6"/>
      <c r="C5" s="2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21" s="5" customFormat="1" ht="17.100000000000001" customHeight="1" x14ac:dyDescent="0.25">
      <c r="A6" s="1" t="s">
        <v>26</v>
      </c>
      <c r="B6" s="31" t="s">
        <v>49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22"/>
    </row>
    <row r="7" spans="1:21" s="5" customFormat="1" ht="17.100000000000001" customHeight="1" x14ac:dyDescent="0.25">
      <c r="A7" s="1" t="s">
        <v>27</v>
      </c>
      <c r="B7" s="31" t="s">
        <v>49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3"/>
      <c r="U7" s="22"/>
    </row>
    <row r="8" spans="1:21" s="5" customFormat="1" ht="17.100000000000001" customHeight="1" x14ac:dyDescent="0.25">
      <c r="A8" s="1" t="s">
        <v>28</v>
      </c>
      <c r="B8" s="31" t="s">
        <v>55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3"/>
      <c r="U8" s="22"/>
    </row>
    <row r="9" spans="1:21" s="5" customFormat="1" ht="17.100000000000001" customHeight="1" x14ac:dyDescent="0.25">
      <c r="A9" s="2" t="s">
        <v>29</v>
      </c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3"/>
      <c r="U9" s="22"/>
    </row>
    <row r="10" spans="1:21" s="5" customFormat="1" ht="17.100000000000001" customHeight="1" x14ac:dyDescent="0.25">
      <c r="A10" s="1" t="s">
        <v>30</v>
      </c>
      <c r="B10" s="31" t="s">
        <v>57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3"/>
      <c r="U10" s="22"/>
    </row>
    <row r="11" spans="1:21" s="5" customFormat="1" ht="17.100000000000001" customHeight="1" x14ac:dyDescent="0.25">
      <c r="A11" s="1" t="s">
        <v>31</v>
      </c>
      <c r="B11" s="31" t="s">
        <v>44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3"/>
      <c r="U11" s="22"/>
    </row>
    <row r="12" spans="1:21" s="5" customFormat="1" ht="17.100000000000001" customHeight="1" x14ac:dyDescent="0.25">
      <c r="A12" s="1" t="s">
        <v>32</v>
      </c>
      <c r="B12" s="34" t="s">
        <v>59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3"/>
      <c r="U12" s="22"/>
    </row>
    <row r="13" spans="1:21" ht="17.100000000000001" customHeight="1" x14ac:dyDescent="0.25">
      <c r="T13" s="8"/>
      <c r="U13" s="8"/>
    </row>
    <row r="14" spans="1:21" ht="17.100000000000001" customHeight="1" x14ac:dyDescent="0.25">
      <c r="A14" s="35" t="s">
        <v>33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27"/>
    </row>
    <row r="15" spans="1:21" ht="17.100000000000001" customHeight="1" x14ac:dyDescent="0.25">
      <c r="B15" s="6"/>
      <c r="C15" s="6"/>
      <c r="D15" s="6"/>
      <c r="E15" s="6"/>
      <c r="F15" s="6"/>
      <c r="G15" s="6"/>
      <c r="H15" s="26"/>
      <c r="I15" s="6"/>
      <c r="J15" s="6"/>
      <c r="K15" s="6"/>
      <c r="L15" s="6"/>
      <c r="M15" s="6"/>
      <c r="N15" s="6"/>
      <c r="O15" s="6"/>
    </row>
    <row r="16" spans="1:21" ht="40.5" customHeight="1" x14ac:dyDescent="0.25">
      <c r="A16" s="9" t="s">
        <v>35</v>
      </c>
      <c r="B16" s="9" t="s">
        <v>14</v>
      </c>
      <c r="C16" s="9" t="s">
        <v>4</v>
      </c>
      <c r="D16" s="9" t="s">
        <v>5</v>
      </c>
      <c r="E16" s="9" t="s">
        <v>4</v>
      </c>
      <c r="F16" s="9" t="s">
        <v>5</v>
      </c>
      <c r="G16" s="9" t="s">
        <v>4</v>
      </c>
      <c r="H16" s="28" t="s">
        <v>38</v>
      </c>
      <c r="I16" s="28" t="s">
        <v>39</v>
      </c>
      <c r="J16" s="9" t="s">
        <v>21</v>
      </c>
      <c r="K16" s="9" t="s">
        <v>54</v>
      </c>
      <c r="M16" s="38"/>
      <c r="N16" s="38"/>
      <c r="O16" s="38"/>
      <c r="P16" s="38"/>
    </row>
    <row r="17" spans="1:21" ht="17.100000000000001" customHeight="1" x14ac:dyDescent="0.25">
      <c r="A17" s="10" t="s">
        <v>50</v>
      </c>
      <c r="B17" s="11">
        <v>65.010000000000005</v>
      </c>
      <c r="C17" s="11">
        <v>100</v>
      </c>
      <c r="D17" s="11">
        <v>2</v>
      </c>
      <c r="E17" s="11">
        <v>100</v>
      </c>
      <c r="F17" s="11">
        <v>1</v>
      </c>
      <c r="G17" s="11">
        <v>1</v>
      </c>
      <c r="H17" s="11">
        <v>22.99</v>
      </c>
      <c r="I17" s="11">
        <v>58.44</v>
      </c>
      <c r="J17" s="11">
        <v>100</v>
      </c>
      <c r="K17" s="25">
        <f>B17/C17*D17/E17*H17/I17*1000</f>
        <v>5.1149209445585209</v>
      </c>
      <c r="M17" s="39"/>
      <c r="N17" s="39"/>
      <c r="O17" s="39"/>
      <c r="P17" s="39"/>
    </row>
    <row r="18" spans="1:21" ht="17.100000000000001" customHeight="1" x14ac:dyDescent="0.25">
      <c r="A18" s="12"/>
      <c r="B18" s="13"/>
      <c r="C18" s="13"/>
      <c r="D18" s="13"/>
      <c r="E18" s="13"/>
      <c r="F18" s="26"/>
      <c r="G18" s="26"/>
      <c r="H18" s="26"/>
      <c r="K18" s="26"/>
      <c r="L18" s="26"/>
      <c r="M18" s="26"/>
      <c r="N18" s="26"/>
      <c r="O18" s="26"/>
    </row>
    <row r="19" spans="1:21" ht="60.75" customHeight="1" x14ac:dyDescent="0.25">
      <c r="A19" s="9" t="s">
        <v>22</v>
      </c>
      <c r="B19" s="21" t="s">
        <v>56</v>
      </c>
      <c r="C19" s="21" t="s">
        <v>56</v>
      </c>
      <c r="D19" s="19"/>
      <c r="E19" s="14" t="s">
        <v>23</v>
      </c>
      <c r="F19" s="21" t="str">
        <f>B19</f>
        <v>Sodium</v>
      </c>
      <c r="G19" s="21" t="s">
        <v>56</v>
      </c>
      <c r="H19" s="20"/>
      <c r="I19" s="14" t="s">
        <v>41</v>
      </c>
      <c r="J19" s="21" t="str">
        <f>F19</f>
        <v>Sodium</v>
      </c>
      <c r="K19" s="9" t="s">
        <v>45</v>
      </c>
    </row>
    <row r="20" spans="1:21" ht="33.75" customHeight="1" x14ac:dyDescent="0.25">
      <c r="A20" s="9" t="s">
        <v>3</v>
      </c>
      <c r="B20" s="9" t="s">
        <v>9</v>
      </c>
      <c r="C20" s="9" t="s">
        <v>42</v>
      </c>
      <c r="E20" s="14" t="s">
        <v>11</v>
      </c>
      <c r="F20" s="9" t="s">
        <v>9</v>
      </c>
      <c r="G20" s="9" t="s">
        <v>42</v>
      </c>
      <c r="I20" s="9" t="s">
        <v>3</v>
      </c>
      <c r="J20" s="9" t="s">
        <v>9</v>
      </c>
      <c r="K20" s="28" t="s">
        <v>56</v>
      </c>
    </row>
    <row r="21" spans="1:21" ht="17.100000000000001" customHeight="1" x14ac:dyDescent="0.25">
      <c r="A21" s="28">
        <v>1</v>
      </c>
      <c r="B21" s="3">
        <v>0.49969999999999998</v>
      </c>
      <c r="C21" s="15">
        <f>IFERROR((B21-$J$27), "")</f>
        <v>0.47589999999999999</v>
      </c>
      <c r="E21" s="16">
        <v>7</v>
      </c>
      <c r="F21" s="3">
        <v>0.50839999999999996</v>
      </c>
      <c r="G21" s="15">
        <f>IFERROR((F21-$J$27), "")</f>
        <v>0.48459999999999998</v>
      </c>
      <c r="I21" s="16">
        <v>1</v>
      </c>
      <c r="J21" s="4">
        <v>4.5600000000000002E-2</v>
      </c>
      <c r="K21" s="40">
        <f>IFERROR(($J$27/$F$27*100),"")</f>
        <v>4.7009766267968853</v>
      </c>
    </row>
    <row r="22" spans="1:21" ht="17.100000000000001" customHeight="1" x14ac:dyDescent="0.25">
      <c r="A22" s="28">
        <v>2</v>
      </c>
      <c r="B22" s="3">
        <v>0.501</v>
      </c>
      <c r="C22" s="15">
        <f t="shared" ref="C22:C26" si="0">IFERROR((B22-$J$27), "")</f>
        <v>0.47720000000000001</v>
      </c>
      <c r="E22" s="16">
        <v>8</v>
      </c>
      <c r="F22" s="3">
        <v>0.52600000000000002</v>
      </c>
      <c r="G22" s="15">
        <f>IFERROR((F22-$J$27), "")</f>
        <v>0.50219999999999998</v>
      </c>
      <c r="I22" s="16">
        <v>2</v>
      </c>
      <c r="J22" s="4">
        <v>2E-3</v>
      </c>
      <c r="K22" s="41"/>
    </row>
    <row r="23" spans="1:21" ht="17.100000000000001" customHeight="1" x14ac:dyDescent="0.25">
      <c r="A23" s="28">
        <v>3</v>
      </c>
      <c r="B23" s="3">
        <v>0.50019999999999998</v>
      </c>
      <c r="C23" s="15">
        <f t="shared" si="0"/>
        <v>0.47639999999999999</v>
      </c>
      <c r="E23" s="16">
        <v>9</v>
      </c>
      <c r="F23" s="3">
        <v>0.51329999999999998</v>
      </c>
      <c r="G23" s="15">
        <f t="shared" ref="G23:G26" si="1">IFERROR((F23-$J$27), "")</f>
        <v>0.48949999999999999</v>
      </c>
      <c r="I23" s="16">
        <v>3</v>
      </c>
      <c r="J23" s="4"/>
      <c r="K23" s="41"/>
    </row>
    <row r="24" spans="1:21" ht="17.100000000000001" customHeight="1" x14ac:dyDescent="0.25">
      <c r="A24" s="28">
        <v>4</v>
      </c>
      <c r="B24" s="3">
        <v>0.49930000000000002</v>
      </c>
      <c r="C24" s="15">
        <f t="shared" si="0"/>
        <v>0.47550000000000003</v>
      </c>
      <c r="E24" s="16">
        <v>10</v>
      </c>
      <c r="F24" s="4" t="s">
        <v>43</v>
      </c>
      <c r="G24" s="15" t="str">
        <f t="shared" si="1"/>
        <v/>
      </c>
      <c r="I24" s="16">
        <v>4</v>
      </c>
      <c r="J24" s="4"/>
      <c r="K24" s="41"/>
    </row>
    <row r="25" spans="1:21" ht="17.100000000000001" customHeight="1" x14ac:dyDescent="0.25">
      <c r="A25" s="28">
        <v>5</v>
      </c>
      <c r="B25" s="3">
        <v>0.50390000000000001</v>
      </c>
      <c r="C25" s="15">
        <f t="shared" si="0"/>
        <v>0.48010000000000003</v>
      </c>
      <c r="E25" s="16">
        <v>11</v>
      </c>
      <c r="F25" s="4" t="s">
        <v>43</v>
      </c>
      <c r="G25" s="15" t="str">
        <f t="shared" si="1"/>
        <v/>
      </c>
      <c r="I25" s="16">
        <v>5</v>
      </c>
      <c r="J25" s="4"/>
      <c r="K25" s="41"/>
    </row>
    <row r="26" spans="1:21" ht="17.100000000000001" customHeight="1" x14ac:dyDescent="0.25">
      <c r="A26" s="28">
        <v>6</v>
      </c>
      <c r="B26" s="3">
        <v>0.50470000000000004</v>
      </c>
      <c r="C26" s="15">
        <f t="shared" si="0"/>
        <v>0.48090000000000005</v>
      </c>
      <c r="E26" s="16">
        <v>12</v>
      </c>
      <c r="F26" s="4" t="s">
        <v>43</v>
      </c>
      <c r="G26" s="15" t="str">
        <f t="shared" si="1"/>
        <v/>
      </c>
      <c r="I26" s="16">
        <v>6</v>
      </c>
      <c r="J26" s="4"/>
      <c r="K26" s="41"/>
    </row>
    <row r="27" spans="1:21" ht="17.100000000000001" customHeight="1" x14ac:dyDescent="0.25">
      <c r="A27" s="17" t="s">
        <v>0</v>
      </c>
      <c r="B27" s="15">
        <f>IFERROR((AVERAGE(B21:B26)), "")</f>
        <v>0.50146666666666673</v>
      </c>
      <c r="C27" s="15">
        <f>AVERAGE(C21:C26)</f>
        <v>0.47766666666666668</v>
      </c>
      <c r="E27" s="18" t="s">
        <v>0</v>
      </c>
      <c r="F27" s="15">
        <f>IFERROR((AVERAGE(F21:F26,B21:B26)), "")</f>
        <v>0.5062777777777776</v>
      </c>
      <c r="G27" s="15">
        <f>IFERROR((AVERAGE(G21:G26,C21:C26)), "")</f>
        <v>0.48247777777777778</v>
      </c>
      <c r="I27" s="18" t="s">
        <v>0</v>
      </c>
      <c r="J27" s="15">
        <f>IFERROR((AVERAGE(J21:J26)), "")</f>
        <v>2.3800000000000002E-2</v>
      </c>
      <c r="K27" s="41"/>
    </row>
    <row r="28" spans="1:21" ht="17.100000000000001" customHeight="1" x14ac:dyDescent="0.25">
      <c r="A28" s="17" t="s">
        <v>1</v>
      </c>
      <c r="B28" s="17">
        <f>STDEV(B21:B26)</f>
        <v>2.2809354806014874E-3</v>
      </c>
      <c r="C28" s="17">
        <f>STDEV(C21:C26)</f>
        <v>2.280935480601487E-3</v>
      </c>
      <c r="E28" s="18" t="s">
        <v>1</v>
      </c>
      <c r="F28" s="17">
        <f>STDEV(B21:B26,F21:F26)</f>
        <v>8.715471556057338E-3</v>
      </c>
      <c r="G28" s="17">
        <f>STDEV(C21:C26,G21:G26)</f>
        <v>8.7154715560573207E-3</v>
      </c>
      <c r="I28" s="18" t="s">
        <v>1</v>
      </c>
      <c r="J28" s="17">
        <f>STDEV(J21:J26)</f>
        <v>3.0829855659733472E-2</v>
      </c>
      <c r="K28" s="41"/>
    </row>
    <row r="29" spans="1:21" ht="17.100000000000001" customHeight="1" x14ac:dyDescent="0.25">
      <c r="A29" s="17" t="s">
        <v>2</v>
      </c>
      <c r="B29" s="17">
        <f>B28*100/B27</f>
        <v>0.45485286106118467</v>
      </c>
      <c r="C29" s="17">
        <f>C28*100/C27</f>
        <v>0.47751615085865046</v>
      </c>
      <c r="E29" s="18" t="s">
        <v>2</v>
      </c>
      <c r="F29" s="17">
        <f>F28*100/F27</f>
        <v>1.7214801712831356</v>
      </c>
      <c r="G29" s="17">
        <f>G28*100/G27</f>
        <v>1.8063985446541206</v>
      </c>
      <c r="I29" s="18" t="s">
        <v>2</v>
      </c>
      <c r="J29" s="17">
        <f>J28*100/J27</f>
        <v>129.53720865434232</v>
      </c>
      <c r="K29" s="42"/>
    </row>
    <row r="30" spans="1:21" ht="17.100000000000001" customHeight="1" x14ac:dyDescent="0.25">
      <c r="A30" s="6"/>
      <c r="B30" s="6"/>
      <c r="C30" s="6"/>
      <c r="F30" s="26"/>
      <c r="G30" s="26"/>
      <c r="H30" s="7"/>
      <c r="J30" s="6"/>
      <c r="K30" s="6"/>
      <c r="L30" s="6"/>
      <c r="M30" s="6"/>
      <c r="N30" s="6"/>
      <c r="O30" s="6"/>
    </row>
    <row r="31" spans="1:21" ht="17.100000000000001" customHeight="1" x14ac:dyDescent="0.25">
      <c r="A31" s="43" t="s">
        <v>34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</row>
    <row r="32" spans="1:21" ht="17.100000000000001" customHeight="1" x14ac:dyDescent="0.25">
      <c r="A32" s="6"/>
      <c r="E32" s="6"/>
      <c r="F32" s="26"/>
      <c r="G32" s="26"/>
      <c r="H32" s="7"/>
      <c r="J32" s="6"/>
      <c r="K32" s="6"/>
      <c r="L32" s="6"/>
      <c r="M32" s="6"/>
      <c r="N32" s="6"/>
      <c r="O32" s="6"/>
    </row>
    <row r="33" spans="1:21" ht="36" x14ac:dyDescent="0.25">
      <c r="A33" s="9" t="s">
        <v>20</v>
      </c>
      <c r="B33" s="9" t="s">
        <v>19</v>
      </c>
      <c r="C33" s="9" t="s">
        <v>18</v>
      </c>
      <c r="D33" s="9" t="s">
        <v>12</v>
      </c>
      <c r="E33" s="9" t="s">
        <v>13</v>
      </c>
      <c r="F33" s="9" t="s">
        <v>7</v>
      </c>
      <c r="G33" s="9" t="s">
        <v>8</v>
      </c>
      <c r="H33" s="9" t="s">
        <v>6</v>
      </c>
      <c r="I33" s="9" t="s">
        <v>4</v>
      </c>
      <c r="J33" s="9" t="s">
        <v>5</v>
      </c>
      <c r="K33" s="9" t="s">
        <v>4</v>
      </c>
      <c r="L33" s="9" t="s">
        <v>5</v>
      </c>
      <c r="M33" s="9" t="s">
        <v>4</v>
      </c>
      <c r="N33" s="9" t="s">
        <v>5</v>
      </c>
      <c r="O33" s="9" t="s">
        <v>4</v>
      </c>
      <c r="P33" s="9" t="s">
        <v>51</v>
      </c>
      <c r="Q33" s="9" t="s">
        <v>52</v>
      </c>
      <c r="R33" s="9" t="s">
        <v>10</v>
      </c>
      <c r="S33" s="9" t="s">
        <v>40</v>
      </c>
      <c r="T33" s="9" t="s">
        <v>47</v>
      </c>
      <c r="U33" s="9" t="s">
        <v>53</v>
      </c>
    </row>
    <row r="34" spans="1:21" ht="17.100000000000001" customHeight="1" x14ac:dyDescent="0.25">
      <c r="A34" s="45">
        <v>642301</v>
      </c>
      <c r="B34" s="45" t="s">
        <v>48</v>
      </c>
      <c r="C34" s="46" t="s">
        <v>46</v>
      </c>
      <c r="D34" s="46" t="s">
        <v>60</v>
      </c>
      <c r="E34" s="46" t="s">
        <v>61</v>
      </c>
      <c r="F34" s="48">
        <v>1</v>
      </c>
      <c r="G34" s="52">
        <v>1</v>
      </c>
      <c r="H34" s="55">
        <v>1</v>
      </c>
      <c r="I34" s="57">
        <v>12</v>
      </c>
      <c r="J34" s="57">
        <v>1</v>
      </c>
      <c r="K34" s="57">
        <v>100</v>
      </c>
      <c r="L34" s="54">
        <v>1</v>
      </c>
      <c r="M34" s="54">
        <v>1</v>
      </c>
      <c r="N34" s="54">
        <v>1</v>
      </c>
      <c r="O34" s="54">
        <v>1</v>
      </c>
      <c r="P34" s="46">
        <v>0.48659999999999998</v>
      </c>
      <c r="Q34" s="46"/>
      <c r="R34" s="50">
        <f>IFERROR((AVERAGE(P34:Q35)), "")</f>
        <v>0.48659999999999998</v>
      </c>
      <c r="S34" s="50">
        <f t="shared" ref="S34" si="2">IFERROR((R34-$J$27),"")</f>
        <v>0.46279999999999999</v>
      </c>
      <c r="T34" s="51">
        <f>$B$17/$C$17*$D$17/$E$17*$J$17/100*$I34/$H34*$K34/$J34*$M34/$L34*$H$17/$I$17*S34/$C$27</f>
        <v>5.946871938108905</v>
      </c>
      <c r="U34" s="40">
        <f>AVERAGE(T34,T36)</f>
        <v>6.09464425290634</v>
      </c>
    </row>
    <row r="35" spans="1:21" ht="16.5" customHeight="1" x14ac:dyDescent="0.25">
      <c r="A35" s="45"/>
      <c r="B35" s="45"/>
      <c r="C35" s="47"/>
      <c r="D35" s="47"/>
      <c r="E35" s="47"/>
      <c r="F35" s="49"/>
      <c r="G35" s="53"/>
      <c r="H35" s="56"/>
      <c r="I35" s="58"/>
      <c r="J35" s="58"/>
      <c r="K35" s="58"/>
      <c r="L35" s="54"/>
      <c r="M35" s="54"/>
      <c r="N35" s="54"/>
      <c r="O35" s="54"/>
      <c r="P35" s="47"/>
      <c r="Q35" s="47"/>
      <c r="R35" s="50"/>
      <c r="S35" s="50"/>
      <c r="T35" s="51"/>
      <c r="U35" s="41"/>
    </row>
    <row r="36" spans="1:21" ht="30" customHeight="1" x14ac:dyDescent="0.25">
      <c r="A36" s="45">
        <v>642301</v>
      </c>
      <c r="B36" s="45" t="s">
        <v>58</v>
      </c>
      <c r="C36" s="46" t="s">
        <v>46</v>
      </c>
      <c r="D36" s="46" t="s">
        <v>60</v>
      </c>
      <c r="E36" s="46" t="s">
        <v>61</v>
      </c>
      <c r="F36" s="48">
        <v>1</v>
      </c>
      <c r="G36" s="52">
        <v>1</v>
      </c>
      <c r="H36" s="55">
        <v>1</v>
      </c>
      <c r="I36" s="57">
        <v>12</v>
      </c>
      <c r="J36" s="57">
        <v>1</v>
      </c>
      <c r="K36" s="57">
        <v>100</v>
      </c>
      <c r="L36" s="54">
        <v>1</v>
      </c>
      <c r="M36" s="54">
        <v>1</v>
      </c>
      <c r="N36" s="54">
        <v>1</v>
      </c>
      <c r="O36" s="54">
        <v>1</v>
      </c>
      <c r="P36" s="46">
        <v>0.50960000000000005</v>
      </c>
      <c r="Q36" s="46"/>
      <c r="R36" s="50">
        <f t="shared" ref="R36" si="3">IFERROR((AVERAGE(P36:Q37)), "")</f>
        <v>0.50960000000000005</v>
      </c>
      <c r="S36" s="50">
        <f t="shared" ref="S36" si="4">IFERROR((R36-$J$27),"")</f>
        <v>0.48580000000000007</v>
      </c>
      <c r="T36" s="51">
        <f>$B$17/$C$17*$D$17/$E$17*$J$17/100*$I36/$H36*$K36/$J36*$M36/$L36*$H$17/$I$17*S36/$C$27</f>
        <v>6.2424165677037742</v>
      </c>
      <c r="U36" s="41"/>
    </row>
    <row r="37" spans="1:21" ht="3" customHeight="1" x14ac:dyDescent="0.25">
      <c r="A37" s="45"/>
      <c r="B37" s="45"/>
      <c r="C37" s="47"/>
      <c r="D37" s="47"/>
      <c r="E37" s="47"/>
      <c r="F37" s="49"/>
      <c r="G37" s="53"/>
      <c r="H37" s="56"/>
      <c r="I37" s="58"/>
      <c r="J37" s="58"/>
      <c r="K37" s="58"/>
      <c r="L37" s="54"/>
      <c r="M37" s="54"/>
      <c r="N37" s="54"/>
      <c r="O37" s="54"/>
      <c r="P37" s="47"/>
      <c r="Q37" s="47"/>
      <c r="R37" s="50"/>
      <c r="S37" s="50"/>
      <c r="T37" s="51"/>
      <c r="U37" s="42"/>
    </row>
    <row r="38" spans="1:21" ht="17.100000000000001" customHeight="1" x14ac:dyDescent="0.25">
      <c r="A38" s="45">
        <v>642302</v>
      </c>
      <c r="B38" s="45" t="s">
        <v>48</v>
      </c>
      <c r="C38" s="46" t="s">
        <v>46</v>
      </c>
      <c r="D38" s="46" t="s">
        <v>62</v>
      </c>
      <c r="E38" s="46" t="s">
        <v>71</v>
      </c>
      <c r="F38" s="48">
        <v>1</v>
      </c>
      <c r="G38" s="52">
        <v>1</v>
      </c>
      <c r="H38" s="55">
        <v>1</v>
      </c>
      <c r="I38" s="57">
        <v>12</v>
      </c>
      <c r="J38" s="57">
        <v>1</v>
      </c>
      <c r="K38" s="57">
        <v>100</v>
      </c>
      <c r="L38" s="54">
        <v>1</v>
      </c>
      <c r="M38" s="54">
        <v>1</v>
      </c>
      <c r="N38" s="54">
        <v>1</v>
      </c>
      <c r="O38" s="54">
        <v>1</v>
      </c>
      <c r="P38" s="55">
        <v>0.51639999999999997</v>
      </c>
      <c r="Q38" s="46"/>
      <c r="R38" s="50">
        <f t="shared" ref="R38" si="5">IFERROR((AVERAGE(P38:Q39)), "")</f>
        <v>0.51639999999999997</v>
      </c>
      <c r="S38" s="50">
        <f t="shared" ref="S38" si="6">IFERROR((R38-$J$27),"")</f>
        <v>0.49259999999999998</v>
      </c>
      <c r="T38" s="51">
        <f t="shared" ref="T38" si="7">$B$17/$C$17*$D$17/$E$17*$J$17/100*$I38/$H38*$K38/$J38*$M38/$L38*$H$17/$I$17*S38/$C$27</f>
        <v>6.3297949799318207</v>
      </c>
      <c r="U38" s="40">
        <f>AVERAGE(T38,T40)</f>
        <v>6.4113909972330125</v>
      </c>
    </row>
    <row r="39" spans="1:21" ht="16.5" customHeight="1" x14ac:dyDescent="0.25">
      <c r="A39" s="45"/>
      <c r="B39" s="45"/>
      <c r="C39" s="47"/>
      <c r="D39" s="47"/>
      <c r="E39" s="47"/>
      <c r="F39" s="49"/>
      <c r="G39" s="53"/>
      <c r="H39" s="56"/>
      <c r="I39" s="58"/>
      <c r="J39" s="58"/>
      <c r="K39" s="58"/>
      <c r="L39" s="54"/>
      <c r="M39" s="54"/>
      <c r="N39" s="54"/>
      <c r="O39" s="54"/>
      <c r="P39" s="56"/>
      <c r="Q39" s="47"/>
      <c r="R39" s="50"/>
      <c r="S39" s="50"/>
      <c r="T39" s="51"/>
      <c r="U39" s="41"/>
    </row>
    <row r="40" spans="1:21" ht="17.100000000000001" customHeight="1" x14ac:dyDescent="0.25">
      <c r="A40" s="45">
        <v>642302</v>
      </c>
      <c r="B40" s="45" t="s">
        <v>58</v>
      </c>
      <c r="C40" s="46" t="s">
        <v>46</v>
      </c>
      <c r="D40" s="46" t="s">
        <v>62</v>
      </c>
      <c r="E40" s="46" t="s">
        <v>71</v>
      </c>
      <c r="F40" s="48">
        <v>1</v>
      </c>
      <c r="G40" s="52">
        <v>1</v>
      </c>
      <c r="H40" s="55">
        <v>1</v>
      </c>
      <c r="I40" s="57">
        <v>12</v>
      </c>
      <c r="J40" s="57">
        <v>1</v>
      </c>
      <c r="K40" s="57">
        <v>100</v>
      </c>
      <c r="L40" s="54">
        <v>1</v>
      </c>
      <c r="M40" s="54">
        <v>1</v>
      </c>
      <c r="N40" s="54">
        <v>1</v>
      </c>
      <c r="O40" s="54">
        <v>1</v>
      </c>
      <c r="P40" s="46">
        <v>0.52910000000000001</v>
      </c>
      <c r="Q40" s="46"/>
      <c r="R40" s="50">
        <f t="shared" ref="R40" si="8">IFERROR((AVERAGE(P40:Q41)), "")</f>
        <v>0.52910000000000001</v>
      </c>
      <c r="S40" s="50">
        <f t="shared" ref="S40" si="9">IFERROR((R40-$J$27),"")</f>
        <v>0.50529999999999997</v>
      </c>
      <c r="T40" s="51">
        <f t="shared" ref="T40" si="10">$B$17/$C$17*$D$17/$E$17*$J$17/100*$I40/$H40*$K40/$J40*$M40/$L40*$H$17/$I$17*S40/$C$27</f>
        <v>6.4929870145342043</v>
      </c>
      <c r="U40" s="41"/>
    </row>
    <row r="41" spans="1:21" ht="19.5" customHeight="1" x14ac:dyDescent="0.25">
      <c r="A41" s="45"/>
      <c r="B41" s="45"/>
      <c r="C41" s="47"/>
      <c r="D41" s="47"/>
      <c r="E41" s="47"/>
      <c r="F41" s="49"/>
      <c r="G41" s="53"/>
      <c r="H41" s="56"/>
      <c r="I41" s="58"/>
      <c r="J41" s="58"/>
      <c r="K41" s="58"/>
      <c r="L41" s="54"/>
      <c r="M41" s="54"/>
      <c r="N41" s="54"/>
      <c r="O41" s="54"/>
      <c r="P41" s="47"/>
      <c r="Q41" s="47"/>
      <c r="R41" s="50"/>
      <c r="S41" s="50"/>
      <c r="T41" s="51"/>
      <c r="U41" s="42"/>
    </row>
    <row r="42" spans="1:21" ht="17.100000000000001" customHeight="1" x14ac:dyDescent="0.25">
      <c r="A42" s="45">
        <v>642303</v>
      </c>
      <c r="B42" s="45" t="s">
        <v>48</v>
      </c>
      <c r="C42" s="46" t="s">
        <v>46</v>
      </c>
      <c r="D42" s="46" t="s">
        <v>63</v>
      </c>
      <c r="E42" s="46" t="s">
        <v>64</v>
      </c>
      <c r="F42" s="48">
        <v>1</v>
      </c>
      <c r="G42" s="52">
        <v>1</v>
      </c>
      <c r="H42" s="55">
        <v>1</v>
      </c>
      <c r="I42" s="57">
        <v>12</v>
      </c>
      <c r="J42" s="57">
        <v>1</v>
      </c>
      <c r="K42" s="57">
        <v>100</v>
      </c>
      <c r="L42" s="54">
        <v>1</v>
      </c>
      <c r="M42" s="54">
        <v>1</v>
      </c>
      <c r="N42" s="54">
        <v>1</v>
      </c>
      <c r="O42" s="54">
        <v>1</v>
      </c>
      <c r="P42" s="46">
        <v>0.50600000000000001</v>
      </c>
      <c r="Q42" s="46"/>
      <c r="R42" s="50">
        <f t="shared" ref="R42" si="11">IFERROR((AVERAGE(P42:Q43)), "")</f>
        <v>0.50600000000000001</v>
      </c>
      <c r="S42" s="50">
        <f t="shared" ref="S42" si="12">IFERROR((R42-$J$27),"")</f>
        <v>0.48220000000000002</v>
      </c>
      <c r="T42" s="51">
        <f t="shared" ref="T42" si="13">$B$17/$C$17*$D$17/$E$17*$J$17/100*$I42/$H42*$K42/$J42*$M42/$L42*$H$17/$I$17*S42/$C$27</f>
        <v>6.1961574082889248</v>
      </c>
      <c r="U42" s="40">
        <f>AVERAGE(T42,T44)</f>
        <v>6.4904170612333791</v>
      </c>
    </row>
    <row r="43" spans="1:21" ht="15" customHeight="1" x14ac:dyDescent="0.25">
      <c r="A43" s="45"/>
      <c r="B43" s="45"/>
      <c r="C43" s="47"/>
      <c r="D43" s="47"/>
      <c r="E43" s="47"/>
      <c r="F43" s="49"/>
      <c r="G43" s="53"/>
      <c r="H43" s="56"/>
      <c r="I43" s="58"/>
      <c r="J43" s="58"/>
      <c r="K43" s="58"/>
      <c r="L43" s="54"/>
      <c r="M43" s="54"/>
      <c r="N43" s="54"/>
      <c r="O43" s="54"/>
      <c r="P43" s="47"/>
      <c r="Q43" s="47"/>
      <c r="R43" s="50"/>
      <c r="S43" s="50"/>
      <c r="T43" s="51"/>
      <c r="U43" s="41"/>
    </row>
    <row r="44" spans="1:21" ht="17.100000000000001" customHeight="1" x14ac:dyDescent="0.25">
      <c r="A44" s="45">
        <v>642303</v>
      </c>
      <c r="B44" s="45" t="s">
        <v>58</v>
      </c>
      <c r="C44" s="46" t="s">
        <v>46</v>
      </c>
      <c r="D44" s="46" t="s">
        <v>63</v>
      </c>
      <c r="E44" s="46" t="s">
        <v>64</v>
      </c>
      <c r="F44" s="48">
        <v>1</v>
      </c>
      <c r="G44" s="52">
        <v>1</v>
      </c>
      <c r="H44" s="55">
        <v>1</v>
      </c>
      <c r="I44" s="57">
        <v>12</v>
      </c>
      <c r="J44" s="57">
        <v>1</v>
      </c>
      <c r="K44" s="57">
        <v>100</v>
      </c>
      <c r="L44" s="54">
        <v>1</v>
      </c>
      <c r="M44" s="54">
        <v>1</v>
      </c>
      <c r="N44" s="54">
        <v>1</v>
      </c>
      <c r="O44" s="54">
        <v>1</v>
      </c>
      <c r="P44" s="46">
        <v>0.55179999999999996</v>
      </c>
      <c r="Q44" s="46"/>
      <c r="R44" s="50">
        <f t="shared" ref="R44" si="14">IFERROR((AVERAGE(P44:Q45)), "")</f>
        <v>0.55179999999999996</v>
      </c>
      <c r="S44" s="50">
        <f t="shared" ref="S44" si="15">IFERROR((R44-$J$27),"")</f>
        <v>0.52799999999999991</v>
      </c>
      <c r="T44" s="51">
        <f t="shared" ref="T44" si="16">$B$17/$C$17*$D$17/$E$17*$J$17/100*$I44/$H44*$K44/$J44*$M44/$L44*$H$17/$I$17*S44/$C$27</f>
        <v>6.7846767141778335</v>
      </c>
      <c r="U44" s="41"/>
    </row>
    <row r="45" spans="1:21" ht="19.5" customHeight="1" x14ac:dyDescent="0.25">
      <c r="A45" s="45"/>
      <c r="B45" s="45"/>
      <c r="C45" s="47"/>
      <c r="D45" s="47"/>
      <c r="E45" s="47"/>
      <c r="F45" s="49"/>
      <c r="G45" s="53"/>
      <c r="H45" s="56"/>
      <c r="I45" s="58"/>
      <c r="J45" s="58"/>
      <c r="K45" s="58"/>
      <c r="L45" s="54"/>
      <c r="M45" s="54"/>
      <c r="N45" s="54"/>
      <c r="O45" s="54"/>
      <c r="P45" s="47"/>
      <c r="Q45" s="47"/>
      <c r="R45" s="50"/>
      <c r="S45" s="50"/>
      <c r="T45" s="51"/>
      <c r="U45" s="42"/>
    </row>
    <row r="46" spans="1:21" ht="17.100000000000001" customHeight="1" x14ac:dyDescent="0.25">
      <c r="A46" s="45">
        <v>642304</v>
      </c>
      <c r="B46" s="45" t="s">
        <v>48</v>
      </c>
      <c r="C46" s="46" t="s">
        <v>46</v>
      </c>
      <c r="D46" s="46" t="s">
        <v>65</v>
      </c>
      <c r="E46" s="46" t="s">
        <v>66</v>
      </c>
      <c r="F46" s="48">
        <v>1</v>
      </c>
      <c r="G46" s="52">
        <v>1</v>
      </c>
      <c r="H46" s="55">
        <v>1</v>
      </c>
      <c r="I46" s="57">
        <v>12</v>
      </c>
      <c r="J46" s="57">
        <v>1</v>
      </c>
      <c r="K46" s="57">
        <v>100</v>
      </c>
      <c r="L46" s="54">
        <v>1</v>
      </c>
      <c r="M46" s="54">
        <v>1</v>
      </c>
      <c r="N46" s="54">
        <v>1</v>
      </c>
      <c r="O46" s="54">
        <v>1</v>
      </c>
      <c r="P46" s="46">
        <v>0.51739999999999997</v>
      </c>
      <c r="Q46" s="46"/>
      <c r="R46" s="50">
        <f>IFERROR((AVERAGE(P46:Q47)), "")</f>
        <v>0.51739999999999997</v>
      </c>
      <c r="S46" s="50">
        <f t="shared" ref="S46" si="17">IFERROR((R46-$J$27),"")</f>
        <v>0.49359999999999998</v>
      </c>
      <c r="T46" s="51">
        <f t="shared" ref="T46" si="18">$B$17/$C$17*$D$17/$E$17*$J$17/100*$I46/$H46*$K46/$J46*$M46/$L46*$H$17/$I$17*S46/$C$27</f>
        <v>6.342644746435945</v>
      </c>
      <c r="U46" s="40">
        <f>AVERAGE(T46,T48)</f>
        <v>6.3002405169723339</v>
      </c>
    </row>
    <row r="47" spans="1:21" ht="17.25" customHeight="1" x14ac:dyDescent="0.25">
      <c r="A47" s="45"/>
      <c r="B47" s="45"/>
      <c r="C47" s="47"/>
      <c r="D47" s="47"/>
      <c r="E47" s="47"/>
      <c r="F47" s="49"/>
      <c r="G47" s="53"/>
      <c r="H47" s="56"/>
      <c r="I47" s="58"/>
      <c r="J47" s="58"/>
      <c r="K47" s="58"/>
      <c r="L47" s="54"/>
      <c r="M47" s="54"/>
      <c r="N47" s="54"/>
      <c r="O47" s="54"/>
      <c r="P47" s="47"/>
      <c r="Q47" s="47"/>
      <c r="R47" s="50"/>
      <c r="S47" s="50"/>
      <c r="T47" s="51"/>
      <c r="U47" s="41"/>
    </row>
    <row r="48" spans="1:21" ht="17.100000000000001" customHeight="1" x14ac:dyDescent="0.25">
      <c r="A48" s="45">
        <v>642304</v>
      </c>
      <c r="B48" s="45" t="s">
        <v>58</v>
      </c>
      <c r="C48" s="46" t="s">
        <v>46</v>
      </c>
      <c r="D48" s="46" t="s">
        <v>65</v>
      </c>
      <c r="E48" s="46" t="s">
        <v>66</v>
      </c>
      <c r="F48" s="48">
        <v>1</v>
      </c>
      <c r="G48" s="52">
        <v>1</v>
      </c>
      <c r="H48" s="55">
        <v>1</v>
      </c>
      <c r="I48" s="57">
        <v>12</v>
      </c>
      <c r="J48" s="57">
        <v>1</v>
      </c>
      <c r="K48" s="57">
        <v>100</v>
      </c>
      <c r="L48" s="54">
        <v>1</v>
      </c>
      <c r="M48" s="54">
        <v>1</v>
      </c>
      <c r="N48" s="54">
        <v>1</v>
      </c>
      <c r="O48" s="54">
        <v>1</v>
      </c>
      <c r="P48" s="46">
        <v>0.51080000000000003</v>
      </c>
      <c r="Q48" s="46"/>
      <c r="R48" s="50">
        <f>IFERROR((AVERAGE(P48:Q49)), "")</f>
        <v>0.51080000000000003</v>
      </c>
      <c r="S48" s="50">
        <f>IFERROR((R48-$J$27),"")</f>
        <v>0.48700000000000004</v>
      </c>
      <c r="T48" s="51">
        <f t="shared" ref="T48" si="19">$B$17/$C$17*$D$17/$E$17*$J$17/100*$I48/$H48*$K48/$J48*$M48/$L48*$H$17/$I$17*S48/$C$27</f>
        <v>6.2578362875087237</v>
      </c>
      <c r="U48" s="41"/>
    </row>
    <row r="49" spans="1:21" ht="21" customHeight="1" x14ac:dyDescent="0.25">
      <c r="A49" s="45"/>
      <c r="B49" s="45"/>
      <c r="C49" s="47"/>
      <c r="D49" s="47"/>
      <c r="E49" s="47"/>
      <c r="F49" s="49"/>
      <c r="G49" s="53"/>
      <c r="H49" s="56"/>
      <c r="I49" s="58"/>
      <c r="J49" s="58"/>
      <c r="K49" s="58"/>
      <c r="L49" s="54"/>
      <c r="M49" s="54"/>
      <c r="N49" s="54"/>
      <c r="O49" s="54"/>
      <c r="P49" s="47"/>
      <c r="Q49" s="47"/>
      <c r="R49" s="50"/>
      <c r="S49" s="50"/>
      <c r="T49" s="51"/>
      <c r="U49" s="42"/>
    </row>
    <row r="50" spans="1:21" ht="17.100000000000001" customHeight="1" x14ac:dyDescent="0.25">
      <c r="A50" s="45">
        <v>642401</v>
      </c>
      <c r="B50" s="45" t="s">
        <v>48</v>
      </c>
      <c r="C50" s="46" t="s">
        <v>46</v>
      </c>
      <c r="D50" s="46" t="s">
        <v>67</v>
      </c>
      <c r="E50" s="46" t="s">
        <v>68</v>
      </c>
      <c r="F50" s="48">
        <v>1</v>
      </c>
      <c r="G50" s="52">
        <v>1</v>
      </c>
      <c r="H50" s="55">
        <v>1</v>
      </c>
      <c r="I50" s="57">
        <v>12</v>
      </c>
      <c r="J50" s="57">
        <v>1</v>
      </c>
      <c r="K50" s="57">
        <v>100</v>
      </c>
      <c r="L50" s="54">
        <v>1</v>
      </c>
      <c r="M50" s="54">
        <v>1</v>
      </c>
      <c r="N50" s="54">
        <v>1</v>
      </c>
      <c r="O50" s="54">
        <v>1</v>
      </c>
      <c r="P50" s="55">
        <v>0.56310000000000004</v>
      </c>
      <c r="Q50" s="46"/>
      <c r="R50" s="50">
        <f t="shared" ref="R50" si="20">IFERROR((AVERAGE(P50:Q51)), "")</f>
        <v>0.56310000000000004</v>
      </c>
      <c r="S50" s="50">
        <f t="shared" ref="S50" si="21">IFERROR((R50-$J$27),"")</f>
        <v>0.5393</v>
      </c>
      <c r="T50" s="51">
        <f t="shared" ref="T50" si="22">$B$17/$C$17*$D$17/$E$17*$J$17/100*$I50/$H50*$K50/$J50*$M50/$L50*$H$17/$I$17*S50/$C$27</f>
        <v>6.9298790756744442</v>
      </c>
      <c r="U50" s="40">
        <f>AVERAGE(T50,T52)</f>
        <v>6.8367182685195393</v>
      </c>
    </row>
    <row r="51" spans="1:21" ht="21.75" customHeight="1" x14ac:dyDescent="0.25">
      <c r="A51" s="45"/>
      <c r="B51" s="45"/>
      <c r="C51" s="47"/>
      <c r="D51" s="47"/>
      <c r="E51" s="47"/>
      <c r="F51" s="49"/>
      <c r="G51" s="53"/>
      <c r="H51" s="56"/>
      <c r="I51" s="58"/>
      <c r="J51" s="58"/>
      <c r="K51" s="58"/>
      <c r="L51" s="54"/>
      <c r="M51" s="54"/>
      <c r="N51" s="54"/>
      <c r="O51" s="54"/>
      <c r="P51" s="56"/>
      <c r="Q51" s="47"/>
      <c r="R51" s="50"/>
      <c r="S51" s="50"/>
      <c r="T51" s="51"/>
      <c r="U51" s="41"/>
    </row>
    <row r="52" spans="1:21" ht="17.100000000000001" customHeight="1" x14ac:dyDescent="0.25">
      <c r="A52" s="45">
        <v>642401</v>
      </c>
      <c r="B52" s="45" t="s">
        <v>58</v>
      </c>
      <c r="C52" s="46" t="s">
        <v>46</v>
      </c>
      <c r="D52" s="46" t="s">
        <v>67</v>
      </c>
      <c r="E52" s="46" t="s">
        <v>68</v>
      </c>
      <c r="F52" s="48">
        <v>1</v>
      </c>
      <c r="G52" s="52">
        <v>1</v>
      </c>
      <c r="H52" s="55">
        <v>1</v>
      </c>
      <c r="I52" s="57">
        <v>12</v>
      </c>
      <c r="J52" s="57">
        <v>1</v>
      </c>
      <c r="K52" s="57">
        <v>100</v>
      </c>
      <c r="L52" s="54">
        <v>1</v>
      </c>
      <c r="M52" s="54">
        <v>1</v>
      </c>
      <c r="N52" s="54">
        <v>1</v>
      </c>
      <c r="O52" s="54">
        <v>1</v>
      </c>
      <c r="P52" s="46">
        <v>0.54859999999999998</v>
      </c>
      <c r="Q52" s="46"/>
      <c r="R52" s="50">
        <f t="shared" ref="R52" si="23">IFERROR((AVERAGE(P52:Q53)), "")</f>
        <v>0.54859999999999998</v>
      </c>
      <c r="S52" s="50">
        <f t="shared" ref="S52" si="24">IFERROR((R52-$J$27),"")</f>
        <v>0.52479999999999993</v>
      </c>
      <c r="T52" s="51">
        <f t="shared" ref="T52" si="25">$B$17/$C$17*$D$17/$E$17*$J$17/100*$I52/$H52*$K52/$J52*$M52/$L52*$H$17/$I$17*S52/$C$27</f>
        <v>6.7435574613646345</v>
      </c>
      <c r="U52" s="41"/>
    </row>
    <row r="53" spans="1:21" ht="18.75" customHeight="1" x14ac:dyDescent="0.25">
      <c r="A53" s="45"/>
      <c r="B53" s="45"/>
      <c r="C53" s="47"/>
      <c r="D53" s="47"/>
      <c r="E53" s="47"/>
      <c r="F53" s="49"/>
      <c r="G53" s="53"/>
      <c r="H53" s="56"/>
      <c r="I53" s="58"/>
      <c r="J53" s="58"/>
      <c r="K53" s="58"/>
      <c r="L53" s="54"/>
      <c r="M53" s="54"/>
      <c r="N53" s="54"/>
      <c r="O53" s="54"/>
      <c r="P53" s="47"/>
      <c r="Q53" s="47"/>
      <c r="R53" s="50"/>
      <c r="S53" s="50"/>
      <c r="T53" s="51"/>
      <c r="U53" s="42"/>
    </row>
    <row r="54" spans="1:21" ht="17.100000000000001" customHeight="1" x14ac:dyDescent="0.25">
      <c r="A54" s="45">
        <v>642402</v>
      </c>
      <c r="B54" s="45" t="s">
        <v>48</v>
      </c>
      <c r="C54" s="46" t="s">
        <v>46</v>
      </c>
      <c r="D54" s="46" t="s">
        <v>69</v>
      </c>
      <c r="E54" s="46" t="s">
        <v>70</v>
      </c>
      <c r="F54" s="48">
        <v>1</v>
      </c>
      <c r="G54" s="52">
        <v>1</v>
      </c>
      <c r="H54" s="55">
        <v>1</v>
      </c>
      <c r="I54" s="57">
        <v>12</v>
      </c>
      <c r="J54" s="57">
        <v>1</v>
      </c>
      <c r="K54" s="57">
        <v>100</v>
      </c>
      <c r="L54" s="54">
        <v>1</v>
      </c>
      <c r="M54" s="54">
        <v>1</v>
      </c>
      <c r="N54" s="54">
        <v>1</v>
      </c>
      <c r="O54" s="54">
        <v>1</v>
      </c>
      <c r="P54" s="55">
        <v>0.5222</v>
      </c>
      <c r="Q54" s="46"/>
      <c r="R54" s="50">
        <f t="shared" ref="R54" si="26">IFERROR((AVERAGE(P54:Q55)), "")</f>
        <v>0.5222</v>
      </c>
      <c r="S54" s="50">
        <f t="shared" ref="S54" si="27">IFERROR((R54-$J$27),"")</f>
        <v>0.49840000000000001</v>
      </c>
      <c r="T54" s="51">
        <f t="shared" ref="T54" si="28">$B$17/$C$17*$D$17/$E$17*$J$17/100*$I54/$H54*$K54/$J54*$M54/$L54*$H$17/$I$17*S54/$C$27</f>
        <v>6.4043236256557448</v>
      </c>
      <c r="U54" s="40">
        <f>AVERAGE(T54,T56)</f>
        <v>6.4917020378837922</v>
      </c>
    </row>
    <row r="55" spans="1:21" ht="18.75" customHeight="1" x14ac:dyDescent="0.25">
      <c r="A55" s="45"/>
      <c r="B55" s="45"/>
      <c r="C55" s="47"/>
      <c r="D55" s="47"/>
      <c r="E55" s="47"/>
      <c r="F55" s="49"/>
      <c r="G55" s="53"/>
      <c r="H55" s="56"/>
      <c r="I55" s="58"/>
      <c r="J55" s="58"/>
      <c r="K55" s="58"/>
      <c r="L55" s="54"/>
      <c r="M55" s="54"/>
      <c r="N55" s="54"/>
      <c r="O55" s="54"/>
      <c r="P55" s="56"/>
      <c r="Q55" s="47"/>
      <c r="R55" s="50"/>
      <c r="S55" s="50"/>
      <c r="T55" s="51"/>
      <c r="U55" s="41"/>
    </row>
    <row r="56" spans="1:21" ht="17.100000000000001" customHeight="1" x14ac:dyDescent="0.25">
      <c r="A56" s="45">
        <v>642402</v>
      </c>
      <c r="B56" s="45" t="s">
        <v>58</v>
      </c>
      <c r="C56" s="46" t="s">
        <v>46</v>
      </c>
      <c r="D56" s="46" t="s">
        <v>69</v>
      </c>
      <c r="E56" s="46" t="s">
        <v>70</v>
      </c>
      <c r="F56" s="48">
        <v>1</v>
      </c>
      <c r="G56" s="52">
        <v>1</v>
      </c>
      <c r="H56" s="55">
        <v>1</v>
      </c>
      <c r="I56" s="57">
        <v>12</v>
      </c>
      <c r="J56" s="57">
        <v>1</v>
      </c>
      <c r="K56" s="57">
        <v>100</v>
      </c>
      <c r="L56" s="54">
        <v>1</v>
      </c>
      <c r="M56" s="54">
        <v>1</v>
      </c>
      <c r="N56" s="54">
        <v>1</v>
      </c>
      <c r="O56" s="54">
        <v>1</v>
      </c>
      <c r="P56" s="46">
        <v>0.53580000000000005</v>
      </c>
      <c r="Q56" s="46"/>
      <c r="R56" s="50">
        <f t="shared" ref="R56" si="29">IFERROR((AVERAGE(P56:Q57)), "")</f>
        <v>0.53580000000000005</v>
      </c>
      <c r="S56" s="50">
        <f t="shared" ref="S56" si="30">IFERROR((R56-$J$27),"")</f>
        <v>0.51200000000000001</v>
      </c>
      <c r="T56" s="51">
        <f t="shared" ref="T56" si="31">$B$17/$C$17*$D$17/$E$17*$J$17/100*$I56/$H56*$K56/$J56*$M56/$L56*$H$17/$I$17*S56/$C$27</f>
        <v>6.5790804501118405</v>
      </c>
      <c r="U56" s="41"/>
    </row>
    <row r="57" spans="1:21" ht="21" customHeight="1" x14ac:dyDescent="0.25">
      <c r="A57" s="45"/>
      <c r="B57" s="45"/>
      <c r="C57" s="47"/>
      <c r="D57" s="47"/>
      <c r="E57" s="47"/>
      <c r="F57" s="49"/>
      <c r="G57" s="53"/>
      <c r="H57" s="56"/>
      <c r="I57" s="58"/>
      <c r="J57" s="58"/>
      <c r="K57" s="58"/>
      <c r="L57" s="54"/>
      <c r="M57" s="54"/>
      <c r="N57" s="54"/>
      <c r="O57" s="54"/>
      <c r="P57" s="47"/>
      <c r="Q57" s="47"/>
      <c r="R57" s="50"/>
      <c r="S57" s="50"/>
      <c r="T57" s="51"/>
      <c r="U57" s="42"/>
    </row>
    <row r="59" spans="1:21" ht="17.100000000000001" customHeight="1" x14ac:dyDescent="0.25">
      <c r="A59" s="23" t="s">
        <v>17</v>
      </c>
      <c r="B59" s="24"/>
      <c r="D59" s="26"/>
      <c r="E59" s="26"/>
      <c r="K59" s="59" t="s">
        <v>16</v>
      </c>
      <c r="L59" s="59"/>
      <c r="M59" s="59"/>
      <c r="N59" s="59"/>
      <c r="O59" s="59"/>
      <c r="P59" s="59"/>
      <c r="Q59" s="60"/>
      <c r="R59" s="60"/>
      <c r="S59" s="60"/>
      <c r="T59" s="8"/>
      <c r="U59" s="8"/>
    </row>
    <row r="60" spans="1:21" ht="17.100000000000001" customHeight="1" x14ac:dyDescent="0.25">
      <c r="A60" s="23" t="s">
        <v>15</v>
      </c>
      <c r="B60" s="24"/>
      <c r="D60" s="26"/>
      <c r="E60" s="26"/>
      <c r="K60" s="59" t="s">
        <v>15</v>
      </c>
      <c r="L60" s="59"/>
      <c r="M60" s="59"/>
      <c r="N60" s="59"/>
      <c r="O60" s="59"/>
      <c r="P60" s="59"/>
      <c r="Q60" s="60"/>
      <c r="R60" s="60"/>
      <c r="S60" s="60"/>
      <c r="T60" s="8"/>
      <c r="U60" s="8"/>
    </row>
    <row r="61" spans="1:21" ht="17.100000000000001" customHeight="1" x14ac:dyDescent="0.25">
      <c r="B61" s="8"/>
      <c r="C61" s="8"/>
      <c r="D61" s="8"/>
      <c r="E61" s="8"/>
      <c r="F61" s="8"/>
      <c r="G61" s="8"/>
      <c r="I61" s="8"/>
      <c r="J61" s="8"/>
      <c r="K61" s="8"/>
      <c r="L61" s="8"/>
      <c r="M61" s="8"/>
      <c r="N61" s="8"/>
      <c r="O61" s="8"/>
    </row>
  </sheetData>
  <mergeCells count="266">
    <mergeCell ref="K59:P59"/>
    <mergeCell ref="Q59:S59"/>
    <mergeCell ref="K60:P60"/>
    <mergeCell ref="Q60:S60"/>
    <mergeCell ref="M56:M57"/>
    <mergeCell ref="N56:N57"/>
    <mergeCell ref="O56:O57"/>
    <mergeCell ref="P56:P57"/>
    <mergeCell ref="Q56:Q57"/>
    <mergeCell ref="R56:R57"/>
    <mergeCell ref="G56:G57"/>
    <mergeCell ref="H56:H57"/>
    <mergeCell ref="I56:I57"/>
    <mergeCell ref="J56:J57"/>
    <mergeCell ref="K56:K57"/>
    <mergeCell ref="L56:L57"/>
    <mergeCell ref="A56:A57"/>
    <mergeCell ref="B56:B57"/>
    <mergeCell ref="C56:C57"/>
    <mergeCell ref="D56:D57"/>
    <mergeCell ref="E56:E57"/>
    <mergeCell ref="F56:F57"/>
    <mergeCell ref="R54:R55"/>
    <mergeCell ref="S54:S55"/>
    <mergeCell ref="T54:T55"/>
    <mergeCell ref="U54:U57"/>
    <mergeCell ref="S56:S57"/>
    <mergeCell ref="T56:T57"/>
    <mergeCell ref="J54:J55"/>
    <mergeCell ref="K54:K55"/>
    <mergeCell ref="L54:L55"/>
    <mergeCell ref="M54:M55"/>
    <mergeCell ref="N54:N55"/>
    <mergeCell ref="O54:O55"/>
    <mergeCell ref="T52:T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N52:N53"/>
    <mergeCell ref="O52:O53"/>
    <mergeCell ref="P52:P53"/>
    <mergeCell ref="Q52:Q53"/>
    <mergeCell ref="R52:R53"/>
    <mergeCell ref="S52:S53"/>
    <mergeCell ref="H52:H53"/>
    <mergeCell ref="I52:I53"/>
    <mergeCell ref="J52:J53"/>
    <mergeCell ref="K52:K53"/>
    <mergeCell ref="L52:L53"/>
    <mergeCell ref="M52:M53"/>
    <mergeCell ref="P54:P55"/>
    <mergeCell ref="Q54:Q55"/>
    <mergeCell ref="S50:S51"/>
    <mergeCell ref="T50:T51"/>
    <mergeCell ref="U50:U53"/>
    <mergeCell ref="A52:A53"/>
    <mergeCell ref="B52:B53"/>
    <mergeCell ref="C52:C53"/>
    <mergeCell ref="D52:D53"/>
    <mergeCell ref="E52:E53"/>
    <mergeCell ref="F52:F53"/>
    <mergeCell ref="G52:G53"/>
    <mergeCell ref="M50:M51"/>
    <mergeCell ref="N50:N51"/>
    <mergeCell ref="O50:O51"/>
    <mergeCell ref="P50:P51"/>
    <mergeCell ref="Q50:Q51"/>
    <mergeCell ref="R50:R51"/>
    <mergeCell ref="G50:G51"/>
    <mergeCell ref="H50:H51"/>
    <mergeCell ref="I50:I51"/>
    <mergeCell ref="J50:J51"/>
    <mergeCell ref="K50:K51"/>
    <mergeCell ref="L50:L51"/>
    <mergeCell ref="A50:A51"/>
    <mergeCell ref="B50:B51"/>
    <mergeCell ref="C50:C51"/>
    <mergeCell ref="D50:D51"/>
    <mergeCell ref="E50:E51"/>
    <mergeCell ref="F50:F51"/>
    <mergeCell ref="M48:M49"/>
    <mergeCell ref="N48:N49"/>
    <mergeCell ref="O48:O49"/>
    <mergeCell ref="P48:P49"/>
    <mergeCell ref="Q48:Q49"/>
    <mergeCell ref="G48:G49"/>
    <mergeCell ref="H48:H49"/>
    <mergeCell ref="I48:I49"/>
    <mergeCell ref="J48:J49"/>
    <mergeCell ref="K48:K49"/>
    <mergeCell ref="L48:L49"/>
    <mergeCell ref="A48:A49"/>
    <mergeCell ref="B48:B49"/>
    <mergeCell ref="C48:C49"/>
    <mergeCell ref="D48:D49"/>
    <mergeCell ref="E48:E49"/>
    <mergeCell ref="F48:F49"/>
    <mergeCell ref="R46:R47"/>
    <mergeCell ref="S46:S47"/>
    <mergeCell ref="T46:T47"/>
    <mergeCell ref="U46:U49"/>
    <mergeCell ref="S48:S49"/>
    <mergeCell ref="T48:T49"/>
    <mergeCell ref="J46:J47"/>
    <mergeCell ref="K46:K47"/>
    <mergeCell ref="L46:L47"/>
    <mergeCell ref="M46:M47"/>
    <mergeCell ref="N46:N47"/>
    <mergeCell ref="O46:O47"/>
    <mergeCell ref="R48:R49"/>
    <mergeCell ref="T44:T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P46:P47"/>
    <mergeCell ref="Q46:Q47"/>
    <mergeCell ref="S42:S43"/>
    <mergeCell ref="T42:T43"/>
    <mergeCell ref="U42:U45"/>
    <mergeCell ref="A44:A45"/>
    <mergeCell ref="B44:B45"/>
    <mergeCell ref="C44:C45"/>
    <mergeCell ref="D44:D45"/>
    <mergeCell ref="E44:E45"/>
    <mergeCell ref="F44:F45"/>
    <mergeCell ref="G44:G45"/>
    <mergeCell ref="M42:M43"/>
    <mergeCell ref="N42:N43"/>
    <mergeCell ref="O42:O43"/>
    <mergeCell ref="P42:P43"/>
    <mergeCell ref="Q42:Q43"/>
    <mergeCell ref="R42:R43"/>
    <mergeCell ref="G42:G43"/>
    <mergeCell ref="H42:H43"/>
    <mergeCell ref="I42:I43"/>
    <mergeCell ref="J42:J43"/>
    <mergeCell ref="K42:K43"/>
    <mergeCell ref="L42:L43"/>
    <mergeCell ref="A42:A43"/>
    <mergeCell ref="B42:B43"/>
    <mergeCell ref="C42:C43"/>
    <mergeCell ref="D42:D43"/>
    <mergeCell ref="E42:E43"/>
    <mergeCell ref="F42:F43"/>
    <mergeCell ref="M40:M41"/>
    <mergeCell ref="N40:N41"/>
    <mergeCell ref="O40:O41"/>
    <mergeCell ref="P40:P41"/>
    <mergeCell ref="Q40:Q41"/>
    <mergeCell ref="G40:G41"/>
    <mergeCell ref="H40:H41"/>
    <mergeCell ref="I40:I41"/>
    <mergeCell ref="J40:J41"/>
    <mergeCell ref="K40:K41"/>
    <mergeCell ref="L40:L41"/>
    <mergeCell ref="A40:A41"/>
    <mergeCell ref="B40:B41"/>
    <mergeCell ref="C40:C41"/>
    <mergeCell ref="D40:D41"/>
    <mergeCell ref="E40:E41"/>
    <mergeCell ref="F40:F41"/>
    <mergeCell ref="P38:P39"/>
    <mergeCell ref="Q38:Q39"/>
    <mergeCell ref="R38:R39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S38:S39"/>
    <mergeCell ref="T38:T39"/>
    <mergeCell ref="U38:U41"/>
    <mergeCell ref="S40:S41"/>
    <mergeCell ref="T40:T41"/>
    <mergeCell ref="J38:J39"/>
    <mergeCell ref="K38:K39"/>
    <mergeCell ref="L38:L39"/>
    <mergeCell ref="M38:M39"/>
    <mergeCell ref="N38:N39"/>
    <mergeCell ref="O38:O39"/>
    <mergeCell ref="R40:R41"/>
    <mergeCell ref="Q34:Q35"/>
    <mergeCell ref="R34:R35"/>
    <mergeCell ref="G34:G35"/>
    <mergeCell ref="H34:H35"/>
    <mergeCell ref="I34:I35"/>
    <mergeCell ref="J34:J35"/>
    <mergeCell ref="K34:K35"/>
    <mergeCell ref="L34:L35"/>
    <mergeCell ref="T36:T37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M16:P16"/>
    <mergeCell ref="M17:P17"/>
    <mergeCell ref="K21:K29"/>
    <mergeCell ref="A31:U31"/>
    <mergeCell ref="A34:A35"/>
    <mergeCell ref="B34:B35"/>
    <mergeCell ref="C34:C35"/>
    <mergeCell ref="D34:D35"/>
    <mergeCell ref="E34:E35"/>
    <mergeCell ref="F34:F35"/>
    <mergeCell ref="S34:S35"/>
    <mergeCell ref="T34:T35"/>
    <mergeCell ref="U34:U37"/>
    <mergeCell ref="A36:A37"/>
    <mergeCell ref="B36:B37"/>
    <mergeCell ref="C36:C37"/>
    <mergeCell ref="D36:D37"/>
    <mergeCell ref="E36:E37"/>
    <mergeCell ref="F36:F37"/>
    <mergeCell ref="G36:G37"/>
    <mergeCell ref="M34:M35"/>
    <mergeCell ref="N34:N35"/>
    <mergeCell ref="O34:O35"/>
    <mergeCell ref="P34:P35"/>
    <mergeCell ref="B8:T8"/>
    <mergeCell ref="B9:T9"/>
    <mergeCell ref="B10:T10"/>
    <mergeCell ref="B11:T11"/>
    <mergeCell ref="B12:T12"/>
    <mergeCell ref="A14:T14"/>
    <mergeCell ref="A1:T1"/>
    <mergeCell ref="A2:T2"/>
    <mergeCell ref="A3:T3"/>
    <mergeCell ref="A4:T4"/>
    <mergeCell ref="B6:T6"/>
    <mergeCell ref="B7:T7"/>
  </mergeCells>
  <printOptions horizontalCentered="1"/>
  <pageMargins left="0.23622047244094499" right="0.23622047244094499" top="0.74803149606299202" bottom="0.74803149606299202" header="0.31496062992126" footer="0.31496062992126"/>
  <pageSetup paperSize="9" scale="40" orientation="landscape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product</vt:lpstr>
      <vt:lpstr>'Test product'!Print_Area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2026-06-24T05:47:00Z</dcterms:modified>
</cp:coreProperties>
</file>