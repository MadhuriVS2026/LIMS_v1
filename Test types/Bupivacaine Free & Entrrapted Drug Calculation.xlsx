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defaultThemeVersion="124226"/>
  <xr:revisionPtr revIDLastSave="0" documentId="13_ncr:1_{696198C4-FABA-4BD0-9969-56B3072470E1}" xr6:coauthVersionLast="36" xr6:coauthVersionMax="36" xr10:uidLastSave="{00000000-0000-0000-0000-000000000000}"/>
  <bookViews>
    <workbookView xWindow="0" yWindow="0" windowWidth="28800" windowHeight="12180" tabRatio="788" xr2:uid="{00000000-000D-0000-FFFF-FFFF00000000}"/>
  </bookViews>
  <sheets>
    <sheet name="Sheet " sheetId="61" r:id="rId1"/>
  </sheets>
  <definedNames>
    <definedName name="_xlnm.Print_Area" localSheetId="0">'Sheet '!$A$1:$R$55</definedName>
  </definedNames>
  <calcPr calcId="191029"/>
</workbook>
</file>

<file path=xl/calcChain.xml><?xml version="1.0" encoding="utf-8"?>
<calcChain xmlns="http://schemas.openxmlformats.org/spreadsheetml/2006/main">
  <c r="N12" i="61" l="1"/>
  <c r="N30" i="61" l="1"/>
  <c r="N32" i="61"/>
  <c r="N34" i="61"/>
  <c r="N36" i="61"/>
  <c r="N38" i="61"/>
  <c r="N40" i="61"/>
  <c r="N42" i="61"/>
  <c r="N44" i="61"/>
  <c r="N46" i="61"/>
  <c r="N48" i="61"/>
  <c r="N50" i="61"/>
  <c r="N28" i="61" l="1"/>
  <c r="J23" i="61"/>
  <c r="E23" i="61"/>
  <c r="B23" i="61"/>
  <c r="J22" i="61"/>
  <c r="E22" i="61"/>
  <c r="B22" i="61"/>
  <c r="P38" i="61" s="1"/>
  <c r="R38" i="61" s="1"/>
  <c r="E14" i="61"/>
  <c r="J14" i="61" s="1"/>
  <c r="P48" i="61" l="1"/>
  <c r="R48" i="61" s="1"/>
  <c r="P50" i="61"/>
  <c r="R50" i="61" s="1"/>
  <c r="P36" i="61"/>
  <c r="R36" i="61" s="1"/>
  <c r="P34" i="61"/>
  <c r="R34" i="61" s="1"/>
  <c r="L50" i="61"/>
  <c r="O50" i="61" s="1"/>
  <c r="L30" i="61"/>
  <c r="O30" i="61" s="1"/>
  <c r="Q30" i="61" s="1"/>
  <c r="L32" i="61"/>
  <c r="O32" i="61" s="1"/>
  <c r="Q32" i="61" s="1"/>
  <c r="L34" i="61"/>
  <c r="O34" i="61" s="1"/>
  <c r="Q34" i="61" s="1"/>
  <c r="L36" i="61"/>
  <c r="O36" i="61" s="1"/>
  <c r="L38" i="61"/>
  <c r="O38" i="61" s="1"/>
  <c r="L40" i="61"/>
  <c r="O40" i="61" s="1"/>
  <c r="L42" i="61"/>
  <c r="O42" i="61" s="1"/>
  <c r="P30" i="61"/>
  <c r="R30" i="61" s="1"/>
  <c r="L44" i="61"/>
  <c r="O44" i="61" s="1"/>
  <c r="P32" i="61"/>
  <c r="R32" i="61" s="1"/>
  <c r="L46" i="61"/>
  <c r="O46" i="61" s="1"/>
  <c r="P28" i="61"/>
  <c r="R28" i="61" s="1"/>
  <c r="L48" i="61"/>
  <c r="O48" i="61" s="1"/>
  <c r="P40" i="61"/>
  <c r="R40" i="61" s="1"/>
  <c r="P42" i="61"/>
  <c r="R42" i="61" s="1"/>
  <c r="P44" i="61"/>
  <c r="R44" i="61" s="1"/>
  <c r="P46" i="61"/>
  <c r="R46" i="61" s="1"/>
  <c r="B24" i="61"/>
  <c r="E24" i="61"/>
  <c r="J24" i="61"/>
  <c r="L28" i="61"/>
  <c r="O28" i="61" s="1"/>
  <c r="Q28" i="61" s="1"/>
  <c r="Q50" i="61" l="1"/>
  <c r="Q38" i="61"/>
  <c r="Q40" i="61"/>
  <c r="Q48" i="61"/>
  <c r="Q36" i="61"/>
  <c r="Q46" i="61"/>
  <c r="Q42" i="61"/>
  <c r="Q44" i="61"/>
</calcChain>
</file>

<file path=xl/sharedStrings.xml><?xml version="1.0" encoding="utf-8"?>
<sst xmlns="http://schemas.openxmlformats.org/spreadsheetml/2006/main" count="93" uniqueCount="61">
  <si>
    <t>Mean</t>
  </si>
  <si>
    <t>SD</t>
  </si>
  <si>
    <t>% RSD</t>
  </si>
  <si>
    <t>Injection No.</t>
  </si>
  <si>
    <t>Vol</t>
  </si>
  <si>
    <t>Pip</t>
  </si>
  <si>
    <t>Area</t>
  </si>
  <si>
    <t>TRF No.</t>
  </si>
  <si>
    <t>Weight in mg</t>
  </si>
  <si>
    <t>Checked By</t>
  </si>
  <si>
    <t>Analyzed By</t>
  </si>
  <si>
    <t>Packing Detail</t>
  </si>
  <si>
    <t>Stability Condition</t>
  </si>
  <si>
    <t>Batch No.</t>
  </si>
  <si>
    <t>Potency</t>
  </si>
  <si>
    <t>Analytical Development</t>
  </si>
  <si>
    <t>Generic Name</t>
  </si>
  <si>
    <t>Product Name</t>
  </si>
  <si>
    <t>Test</t>
  </si>
  <si>
    <t>Analysis as per</t>
  </si>
  <si>
    <t>Analysed By</t>
  </si>
  <si>
    <t>Instrument Id.</t>
  </si>
  <si>
    <t>Date of Analysis</t>
  </si>
  <si>
    <t>Standard Details</t>
  </si>
  <si>
    <t>Sample Details</t>
  </si>
  <si>
    <t>Emcure</t>
  </si>
  <si>
    <t>M.W of Base</t>
  </si>
  <si>
    <t>M.W. of Salt</t>
  </si>
  <si>
    <t>Bupivacaine</t>
  </si>
  <si>
    <t>Glass Vial</t>
  </si>
  <si>
    <t>% Assay of Bupivacaine</t>
  </si>
  <si>
    <t>Sample takne
 in ml</t>
  </si>
  <si>
    <t>Entrapped (mg/mL)</t>
  </si>
  <si>
    <t xml:space="preserve">%
Entrapped </t>
  </si>
  <si>
    <t>Free &amp; Entrapped Drug Calculation Sheet</t>
  </si>
  <si>
    <t>BKT Inj. No.</t>
  </si>
  <si>
    <t>STD Name</t>
  </si>
  <si>
    <t>L.C.</t>
  </si>
  <si>
    <t>A.R. No.</t>
  </si>
  <si>
    <t xml:space="preserve">% Free Drug </t>
  </si>
  <si>
    <t xml:space="preserve">% Con. </t>
  </si>
  <si>
    <t>Template ID</t>
  </si>
  <si>
    <t>Free &amp; Entrapped Drug</t>
  </si>
  <si>
    <t>Sample
Area</t>
  </si>
  <si>
    <t>Bupivacaine liposome injectable suspension 13.3 mg/ml</t>
  </si>
  <si>
    <t>R &amp; D Ahmedabad</t>
  </si>
  <si>
    <t>QC-DP-MOA-077-03</t>
  </si>
  <si>
    <t>TRF-030-25-006</t>
  </si>
  <si>
    <t>AD/047/25/0214</t>
  </si>
  <si>
    <t>TRF-030-25-007</t>
  </si>
  <si>
    <t>AD/047/25/0213</t>
  </si>
  <si>
    <t>PPM</t>
  </si>
  <si>
    <t>5% Trial-1</t>
  </si>
  <si>
    <t>13% Trial-2</t>
  </si>
  <si>
    <t>5% Trial-1 New Preparation</t>
  </si>
  <si>
    <t>13% Trial-2 New Preparation</t>
  </si>
  <si>
    <t>Free Drug (mg/mL)</t>
  </si>
  <si>
    <t>Bupivacaine in (mg/mL)</t>
  </si>
  <si>
    <t xml:space="preserve"> </t>
  </si>
  <si>
    <t xml:space="preserve">BKT Standard </t>
  </si>
  <si>
    <t xml:space="preserve">Standard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</si>
</sst>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Arial"/>
      <family val="2"/>
    </font>
    <font>
      <sz val="14"/>
      <color theme="1"/>
      <name val="Calibri"/>
      <family val="2"/>
      <scheme val="minor"/>
    </font>
    <font>
      <b/>
      <sz val="18"/>
      <color theme="1"/>
      <name val="Arial"/>
      <family val="2"/>
    </font>
    <font>
      <sz val="18"/>
      <name val="Arial"/>
      <family val="2"/>
    </font>
    <font>
      <b/>
      <sz val="20"/>
      <color theme="1"/>
      <name val="Arial"/>
      <family val="2"/>
    </font>
    <font>
      <b/>
      <sz val="22"/>
      <color theme="1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  <font>
      <b/>
      <sz val="18"/>
      <name val="Arial"/>
      <family val="2"/>
    </font>
    <font>
      <b/>
      <sz val="25"/>
      <color rgb="FFFF0000"/>
      <name val="Arial"/>
      <family val="2"/>
    </font>
    <font>
      <sz val="20"/>
      <color theme="1"/>
      <name val="Arial"/>
      <family val="2"/>
    </font>
    <font>
      <sz val="1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0" borderId="0" xfId="0" applyFont="1" applyFill="1" applyProtection="1"/>
    <xf numFmtId="0" fontId="4" fillId="0" borderId="26" xfId="0" applyFont="1" applyFill="1" applyBorder="1" applyAlignment="1" applyProtection="1">
      <alignment vertical="center"/>
    </xf>
    <xf numFmtId="0" fontId="5" fillId="0" borderId="0" xfId="0" applyFont="1" applyFill="1" applyProtection="1"/>
    <xf numFmtId="0" fontId="8" fillId="0" borderId="0" xfId="0" applyFont="1" applyFill="1" applyProtection="1"/>
    <xf numFmtId="0" fontId="4" fillId="0" borderId="8" xfId="0" applyFont="1" applyFill="1" applyBorder="1" applyAlignment="1" applyProtection="1">
      <alignment horizontal="center" vertical="center" wrapText="1"/>
    </xf>
    <xf numFmtId="0" fontId="8" fillId="0" borderId="0" xfId="0" applyFont="1" applyFill="1" applyBorder="1" applyProtection="1"/>
    <xf numFmtId="0" fontId="8" fillId="0" borderId="17" xfId="0" applyFont="1" applyFill="1" applyBorder="1" applyProtection="1"/>
    <xf numFmtId="0" fontId="4" fillId="0" borderId="8" xfId="0" applyFont="1" applyFill="1" applyBorder="1" applyAlignment="1" applyProtection="1">
      <alignment horizontal="center" vertical="center"/>
    </xf>
    <xf numFmtId="0" fontId="3" fillId="0" borderId="16" xfId="0" applyFont="1" applyFill="1" applyBorder="1" applyProtection="1"/>
    <xf numFmtId="0" fontId="3" fillId="0" borderId="0" xfId="0" applyFont="1" applyFill="1" applyBorder="1" applyProtection="1"/>
    <xf numFmtId="0" fontId="3" fillId="0" borderId="0" xfId="0" applyFont="1" applyFill="1" applyBorder="1" applyAlignment="1" applyProtection="1">
      <alignment horizontal="center"/>
    </xf>
    <xf numFmtId="0" fontId="3" fillId="0" borderId="17" xfId="0" applyFont="1" applyFill="1" applyBorder="1" applyProtection="1"/>
    <xf numFmtId="0" fontId="1" fillId="0" borderId="0" xfId="0" applyFont="1" applyFill="1" applyProtection="1"/>
    <xf numFmtId="0" fontId="4" fillId="0" borderId="5" xfId="0" applyFont="1" applyFill="1" applyBorder="1" applyAlignment="1" applyProtection="1">
      <alignment horizontal="center" vertical="center" wrapText="1"/>
    </xf>
    <xf numFmtId="0" fontId="4" fillId="0" borderId="6" xfId="0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horizontal="center"/>
    </xf>
    <xf numFmtId="0" fontId="4" fillId="0" borderId="29" xfId="0" applyFont="1" applyFill="1" applyBorder="1" applyAlignment="1" applyProtection="1">
      <alignment vertical="center"/>
    </xf>
    <xf numFmtId="0" fontId="4" fillId="3" borderId="6" xfId="0" applyFont="1" applyFill="1" applyBorder="1" applyAlignment="1" applyProtection="1">
      <alignment horizontal="center" vertical="center" wrapText="1"/>
    </xf>
    <xf numFmtId="0" fontId="4" fillId="4" borderId="7" xfId="0" applyFont="1" applyFill="1" applyBorder="1" applyAlignment="1" applyProtection="1">
      <alignment horizontal="center" vertical="center" wrapText="1"/>
    </xf>
    <xf numFmtId="0" fontId="4" fillId="0" borderId="31" xfId="0" applyFont="1" applyFill="1" applyBorder="1" applyAlignment="1" applyProtection="1">
      <alignment horizontal="left" vertical="center"/>
    </xf>
    <xf numFmtId="0" fontId="8" fillId="0" borderId="0" xfId="0" applyFont="1" applyFill="1" applyBorder="1" applyAlignment="1" applyProtection="1">
      <alignment vertical="center"/>
    </xf>
    <xf numFmtId="0" fontId="8" fillId="0" borderId="17" xfId="0" applyFont="1" applyFill="1" applyBorder="1" applyAlignment="1" applyProtection="1">
      <alignment vertical="center"/>
    </xf>
    <xf numFmtId="0" fontId="8" fillId="0" borderId="0" xfId="0" applyFont="1" applyFill="1" applyAlignment="1" applyProtection="1">
      <alignment vertical="center"/>
    </xf>
    <xf numFmtId="164" fontId="8" fillId="0" borderId="8" xfId="0" applyNumberFormat="1" applyFont="1" applyFill="1" applyBorder="1" applyAlignment="1" applyProtection="1">
      <alignment horizontal="left" vertical="center"/>
    </xf>
    <xf numFmtId="0" fontId="4" fillId="2" borderId="7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8" fillId="2" borderId="9" xfId="0" applyFont="1" applyFill="1" applyBorder="1" applyAlignment="1" applyProtection="1">
      <alignment horizontal="center" vertical="center"/>
      <protection locked="0"/>
    </xf>
    <xf numFmtId="1" fontId="4" fillId="0" borderId="9" xfId="0" applyNumberFormat="1" applyFont="1" applyFill="1" applyBorder="1" applyAlignment="1" applyProtection="1">
      <alignment horizontal="center" vertical="center"/>
    </xf>
    <xf numFmtId="164" fontId="8" fillId="0" borderId="9" xfId="0" applyNumberFormat="1" applyFont="1" applyFill="1" applyBorder="1" applyAlignment="1" applyProtection="1">
      <alignment horizontal="center" vertical="center"/>
    </xf>
    <xf numFmtId="164" fontId="4" fillId="0" borderId="10" xfId="0" applyNumberFormat="1" applyFont="1" applyFill="1" applyBorder="1" applyAlignment="1" applyProtection="1">
      <alignment horizontal="left" vertical="center"/>
    </xf>
    <xf numFmtId="164" fontId="4" fillId="0" borderId="12" xfId="0" applyNumberFormat="1" applyFont="1" applyFill="1" applyBorder="1" applyAlignment="1" applyProtection="1">
      <alignment horizontal="center" vertical="center"/>
    </xf>
    <xf numFmtId="0" fontId="4" fillId="0" borderId="29" xfId="0" applyFont="1" applyFill="1" applyBorder="1" applyAlignment="1" applyProtection="1">
      <alignment horizontal="center" vertical="center" wrapText="1"/>
    </xf>
    <xf numFmtId="0" fontId="4" fillId="0" borderId="26" xfId="0" applyFont="1" applyFill="1" applyBorder="1" applyAlignment="1" applyProtection="1">
      <alignment horizontal="center" vertical="center" wrapText="1"/>
    </xf>
    <xf numFmtId="0" fontId="4" fillId="0" borderId="26" xfId="0" applyFont="1" applyFill="1" applyBorder="1" applyAlignment="1" applyProtection="1">
      <alignment horizontal="center" vertical="center"/>
    </xf>
    <xf numFmtId="164" fontId="8" fillId="0" borderId="26" xfId="0" applyNumberFormat="1" applyFont="1" applyFill="1" applyBorder="1" applyAlignment="1" applyProtection="1">
      <alignment vertical="center"/>
    </xf>
    <xf numFmtId="164" fontId="4" fillId="0" borderId="31" xfId="0" applyNumberFormat="1" applyFont="1" applyFill="1" applyBorder="1" applyAlignment="1" applyProtection="1">
      <alignment vertical="center"/>
    </xf>
    <xf numFmtId="0" fontId="8" fillId="2" borderId="18" xfId="0" applyFont="1" applyFill="1" applyBorder="1" applyAlignment="1" applyProtection="1">
      <alignment horizontal="center" vertical="center" wrapText="1"/>
      <protection locked="0"/>
    </xf>
    <xf numFmtId="2" fontId="8" fillId="2" borderId="11" xfId="0" applyNumberFormat="1" applyFont="1" applyFill="1" applyBorder="1" applyAlignment="1" applyProtection="1">
      <alignment horizontal="center" vertical="center"/>
      <protection locked="0"/>
    </xf>
    <xf numFmtId="0" fontId="8" fillId="2" borderId="11" xfId="0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</xf>
    <xf numFmtId="164" fontId="4" fillId="0" borderId="26" xfId="0" applyNumberFormat="1" applyFont="1" applyFill="1" applyBorder="1" applyAlignment="1" applyProtection="1">
      <alignment horizontal="center" vertical="center"/>
    </xf>
    <xf numFmtId="166" fontId="6" fillId="3" borderId="1" xfId="0" applyNumberFormat="1" applyFont="1" applyFill="1" applyBorder="1" applyAlignment="1" applyProtection="1">
      <alignment horizontal="center" vertical="center"/>
    </xf>
    <xf numFmtId="166" fontId="6" fillId="4" borderId="1" xfId="0" applyNumberFormat="1" applyFont="1" applyFill="1" applyBorder="1" applyAlignment="1" applyProtection="1">
      <alignment horizontal="center" vertical="center"/>
    </xf>
    <xf numFmtId="0" fontId="4" fillId="0" borderId="16" xfId="0" applyFont="1" applyFill="1" applyBorder="1" applyAlignment="1" applyProtection="1">
      <alignment horizontal="left" vertical="center"/>
    </xf>
    <xf numFmtId="0" fontId="4" fillId="0" borderId="0" xfId="0" applyFont="1" applyFill="1" applyBorder="1" applyAlignment="1" applyProtection="1">
      <alignment horizontal="left" vertical="center"/>
    </xf>
    <xf numFmtId="0" fontId="4" fillId="0" borderId="18" xfId="0" applyFont="1" applyFill="1" applyBorder="1" applyAlignment="1" applyProtection="1">
      <alignment horizontal="left" vertical="center"/>
    </xf>
    <xf numFmtId="0" fontId="4" fillId="0" borderId="19" xfId="0" applyFont="1" applyFill="1" applyBorder="1" applyAlignment="1" applyProtection="1">
      <alignment horizontal="left" vertical="center"/>
    </xf>
    <xf numFmtId="0" fontId="4" fillId="0" borderId="17" xfId="0" applyFont="1" applyFill="1" applyBorder="1" applyAlignment="1" applyProtection="1">
      <alignment horizontal="left" vertical="center"/>
    </xf>
    <xf numFmtId="0" fontId="4" fillId="0" borderId="20" xfId="0" applyFont="1" applyFill="1" applyBorder="1" applyAlignment="1" applyProtection="1">
      <alignment horizontal="left" vertical="center"/>
    </xf>
    <xf numFmtId="0" fontId="9" fillId="0" borderId="16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/>
    </xf>
    <xf numFmtId="0" fontId="9" fillId="0" borderId="17" xfId="0" applyFont="1" applyFill="1" applyBorder="1" applyAlignment="1" applyProtection="1">
      <alignment horizontal="center"/>
    </xf>
    <xf numFmtId="0" fontId="9" fillId="0" borderId="18" xfId="0" applyFont="1" applyFill="1" applyBorder="1" applyAlignment="1" applyProtection="1">
      <alignment horizontal="center"/>
    </xf>
    <xf numFmtId="0" fontId="9" fillId="0" borderId="19" xfId="0" applyFont="1" applyFill="1" applyBorder="1" applyAlignment="1" applyProtection="1">
      <alignment horizontal="center"/>
    </xf>
    <xf numFmtId="0" fontId="9" fillId="0" borderId="20" xfId="0" applyFont="1" applyFill="1" applyBorder="1" applyAlignment="1" applyProtection="1">
      <alignment horizontal="center"/>
    </xf>
    <xf numFmtId="0" fontId="4" fillId="0" borderId="21" xfId="0" applyFont="1" applyFill="1" applyBorder="1" applyAlignment="1" applyProtection="1">
      <alignment horizontal="left" vertical="center"/>
    </xf>
    <xf numFmtId="0" fontId="4" fillId="0" borderId="4" xfId="0" applyFont="1" applyFill="1" applyBorder="1" applyAlignment="1" applyProtection="1">
      <alignment horizontal="left" vertical="center"/>
    </xf>
    <xf numFmtId="0" fontId="4" fillId="0" borderId="22" xfId="0" applyFont="1" applyFill="1" applyBorder="1" applyAlignment="1" applyProtection="1">
      <alignment horizontal="left" vertical="center"/>
    </xf>
    <xf numFmtId="0" fontId="4" fillId="0" borderId="8" xfId="0" applyFont="1" applyFill="1" applyBorder="1" applyAlignment="1" applyProtection="1">
      <alignment horizontal="left" vertical="center"/>
    </xf>
    <xf numFmtId="0" fontId="4" fillId="0" borderId="1" xfId="0" applyFont="1" applyFill="1" applyBorder="1" applyAlignment="1" applyProtection="1">
      <alignment horizontal="left" vertical="center"/>
    </xf>
    <xf numFmtId="0" fontId="4" fillId="0" borderId="9" xfId="0" applyFont="1" applyFill="1" applyBorder="1" applyAlignment="1" applyProtection="1">
      <alignment horizontal="left" vertical="center"/>
    </xf>
    <xf numFmtId="0" fontId="4" fillId="0" borderId="10" xfId="0" applyFont="1" applyFill="1" applyBorder="1" applyAlignment="1" applyProtection="1">
      <alignment horizontal="left" vertical="center"/>
    </xf>
    <xf numFmtId="0" fontId="4" fillId="0" borderId="11" xfId="0" applyFont="1" applyFill="1" applyBorder="1" applyAlignment="1" applyProtection="1">
      <alignment horizontal="left" vertical="center"/>
    </xf>
    <xf numFmtId="0" fontId="4" fillId="0" borderId="12" xfId="0" applyFont="1" applyFill="1" applyBorder="1" applyAlignment="1" applyProtection="1">
      <alignment horizontal="left" vertical="center"/>
    </xf>
    <xf numFmtId="0" fontId="4" fillId="0" borderId="16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4" fillId="0" borderId="17" xfId="0" applyFont="1" applyFill="1" applyBorder="1" applyAlignment="1" applyProtection="1">
      <alignment horizontal="center" vertical="center"/>
    </xf>
    <xf numFmtId="0" fontId="4" fillId="0" borderId="18" xfId="0" applyFont="1" applyFill="1" applyBorder="1" applyAlignment="1" applyProtection="1">
      <alignment horizontal="center" vertical="center"/>
    </xf>
    <xf numFmtId="0" fontId="4" fillId="0" borderId="19" xfId="0" applyFont="1" applyFill="1" applyBorder="1" applyAlignment="1" applyProtection="1">
      <alignment horizontal="center" vertical="center"/>
    </xf>
    <xf numFmtId="0" fontId="4" fillId="0" borderId="20" xfId="0" applyFont="1" applyFill="1" applyBorder="1" applyAlignment="1" applyProtection="1">
      <alignment horizontal="center" vertical="center"/>
    </xf>
    <xf numFmtId="0" fontId="12" fillId="2" borderId="1" xfId="0" applyFont="1" applyFill="1" applyBorder="1" applyAlignment="1" applyProtection="1">
      <alignment horizontal="center" vertical="center" wrapText="1"/>
      <protection locked="0"/>
    </xf>
    <xf numFmtId="1" fontId="12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4" borderId="9" xfId="0" applyNumberFormat="1" applyFont="1" applyFill="1" applyBorder="1" applyAlignment="1" applyProtection="1">
      <alignment horizontal="center" vertical="center"/>
    </xf>
    <xf numFmtId="166" fontId="6" fillId="2" borderId="1" xfId="0" applyNumberFormat="1" applyFont="1" applyFill="1" applyBorder="1" applyAlignment="1" applyProtection="1">
      <alignment horizontal="center" vertical="center"/>
    </xf>
    <xf numFmtId="164" fontId="12" fillId="2" borderId="1" xfId="0" applyNumberFormat="1" applyFont="1" applyFill="1" applyBorder="1" applyAlignment="1" applyProtection="1">
      <alignment horizontal="center" vertical="center"/>
      <protection locked="0"/>
    </xf>
    <xf numFmtId="166" fontId="6" fillId="0" borderId="1" xfId="0" applyNumberFormat="1" applyFont="1" applyFill="1" applyBorder="1" applyAlignment="1" applyProtection="1">
      <alignment horizontal="center" vertical="center"/>
    </xf>
    <xf numFmtId="0" fontId="13" fillId="2" borderId="8" xfId="0" applyFont="1" applyFill="1" applyBorder="1" applyAlignment="1" applyProtection="1">
      <alignment horizontal="left" vertical="center" wrapText="1"/>
      <protection locked="0"/>
    </xf>
    <xf numFmtId="0" fontId="13" fillId="2" borderId="1" xfId="0" applyFont="1" applyFill="1" applyBorder="1" applyAlignment="1" applyProtection="1">
      <alignment horizontal="left" vertical="center" wrapText="1"/>
      <protection locked="0"/>
    </xf>
    <xf numFmtId="0" fontId="13" fillId="2" borderId="1" xfId="0" applyFont="1" applyFill="1" applyBorder="1" applyAlignment="1" applyProtection="1">
      <alignment horizontal="center" vertical="center" wrapText="1"/>
      <protection locked="0"/>
    </xf>
    <xf numFmtId="9" fontId="13" fillId="2" borderId="1" xfId="0" applyNumberFormat="1" applyFont="1" applyFill="1" applyBorder="1" applyAlignment="1" applyProtection="1">
      <alignment horizontal="left" vertical="center" wrapText="1"/>
      <protection locked="0"/>
    </xf>
    <xf numFmtId="164" fontId="4" fillId="0" borderId="10" xfId="0" applyNumberFormat="1" applyFont="1" applyFill="1" applyBorder="1" applyAlignment="1" applyProtection="1">
      <alignment horizontal="left" vertical="center"/>
    </xf>
    <xf numFmtId="164" fontId="4" fillId="0" borderId="11" xfId="0" applyNumberFormat="1" applyFont="1" applyFill="1" applyBorder="1" applyAlignment="1" applyProtection="1">
      <alignment horizontal="left" vertical="center"/>
    </xf>
    <xf numFmtId="164" fontId="4" fillId="0" borderId="11" xfId="0" applyNumberFormat="1" applyFont="1" applyFill="1" applyBorder="1" applyAlignment="1" applyProtection="1">
      <alignment horizontal="center" vertical="center"/>
    </xf>
    <xf numFmtId="164" fontId="4" fillId="0" borderId="12" xfId="0" applyNumberFormat="1" applyFont="1" applyFill="1" applyBorder="1" applyAlignment="1" applyProtection="1">
      <alignment horizontal="center" vertical="center"/>
    </xf>
    <xf numFmtId="0" fontId="7" fillId="0" borderId="36" xfId="0" applyFont="1" applyFill="1" applyBorder="1" applyAlignment="1" applyProtection="1">
      <alignment horizontal="center" vertical="center"/>
    </xf>
    <xf numFmtId="0" fontId="7" fillId="0" borderId="37" xfId="0" applyFont="1" applyFill="1" applyBorder="1" applyAlignment="1" applyProtection="1">
      <alignment horizontal="center" vertical="center"/>
    </xf>
    <xf numFmtId="0" fontId="7" fillId="0" borderId="38" xfId="0" applyFont="1" applyFill="1" applyBorder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8" fillId="2" borderId="9" xfId="0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</xf>
    <xf numFmtId="164" fontId="4" fillId="0" borderId="1" xfId="0" applyNumberFormat="1" applyFont="1" applyFill="1" applyBorder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164" fontId="8" fillId="0" borderId="8" xfId="0" applyNumberFormat="1" applyFont="1" applyFill="1" applyBorder="1" applyAlignment="1" applyProtection="1">
      <alignment horizontal="left" vertical="center"/>
    </xf>
    <xf numFmtId="164" fontId="8" fillId="0" borderId="1" xfId="0" applyNumberFormat="1" applyFont="1" applyFill="1" applyBorder="1" applyAlignment="1" applyProtection="1">
      <alignment horizontal="left" vertical="center"/>
    </xf>
    <xf numFmtId="164" fontId="8" fillId="0" borderId="1" xfId="0" applyNumberFormat="1" applyFont="1" applyFill="1" applyBorder="1" applyAlignment="1" applyProtection="1">
      <alignment horizontal="center" vertical="center"/>
    </xf>
    <xf numFmtId="164" fontId="8" fillId="0" borderId="9" xfId="0" applyNumberFormat="1" applyFont="1" applyFill="1" applyBorder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 wrapText="1"/>
    </xf>
    <xf numFmtId="165" fontId="8" fillId="2" borderId="11" xfId="0" applyNumberFormat="1" applyFont="1" applyFill="1" applyBorder="1" applyAlignment="1" applyProtection="1">
      <alignment horizontal="center" vertical="center"/>
      <protection locked="0"/>
    </xf>
    <xf numFmtId="0" fontId="8" fillId="2" borderId="11" xfId="0" applyFont="1" applyFill="1" applyBorder="1" applyAlignment="1" applyProtection="1">
      <alignment horizontal="center" vertical="center"/>
      <protection locked="0"/>
    </xf>
    <xf numFmtId="0" fontId="8" fillId="2" borderId="32" xfId="0" applyFont="1" applyFill="1" applyBorder="1" applyAlignment="1" applyProtection="1">
      <alignment horizontal="center" vertical="center"/>
      <protection locked="0"/>
    </xf>
    <xf numFmtId="0" fontId="8" fillId="0" borderId="16" xfId="0" applyFont="1" applyFill="1" applyBorder="1" applyAlignment="1" applyProtection="1">
      <alignment horizontal="center" wrapText="1"/>
    </xf>
    <xf numFmtId="0" fontId="8" fillId="0" borderId="0" xfId="0" applyFont="1" applyFill="1" applyBorder="1" applyAlignment="1" applyProtection="1">
      <alignment horizontal="center" wrapText="1"/>
    </xf>
    <xf numFmtId="0" fontId="8" fillId="0" borderId="17" xfId="0" applyFont="1" applyFill="1" applyBorder="1" applyAlignment="1" applyProtection="1">
      <alignment horizontal="center" wrapText="1"/>
    </xf>
    <xf numFmtId="0" fontId="4" fillId="0" borderId="5" xfId="0" applyFont="1" applyFill="1" applyBorder="1" applyAlignment="1" applyProtection="1">
      <alignment horizontal="center" vertical="center" wrapText="1"/>
    </xf>
    <xf numFmtId="0" fontId="4" fillId="0" borderId="6" xfId="0" applyFont="1" applyFill="1" applyBorder="1" applyAlignment="1" applyProtection="1">
      <alignment horizontal="center" vertical="center" wrapText="1"/>
    </xf>
    <xf numFmtId="0" fontId="4" fillId="2" borderId="6" xfId="0" applyFont="1" applyFill="1" applyBorder="1" applyAlignment="1" applyProtection="1">
      <alignment horizontal="center" vertical="center" wrapText="1"/>
    </xf>
    <xf numFmtId="0" fontId="4" fillId="2" borderId="7" xfId="0" applyFont="1" applyFill="1" applyBorder="1" applyAlignment="1" applyProtection="1">
      <alignment horizontal="center" vertical="center" wrapText="1"/>
    </xf>
    <xf numFmtId="166" fontId="8" fillId="0" borderId="11" xfId="0" applyNumberFormat="1" applyFont="1" applyFill="1" applyBorder="1" applyAlignment="1" applyProtection="1">
      <alignment horizontal="center" vertical="center"/>
      <protection locked="0"/>
    </xf>
    <xf numFmtId="166" fontId="8" fillId="0" borderId="1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 applyProtection="1">
      <alignment horizontal="center" vertical="center"/>
    </xf>
    <xf numFmtId="0" fontId="4" fillId="0" borderId="25" xfId="0" applyFont="1" applyFill="1" applyBorder="1" applyAlignment="1" applyProtection="1">
      <alignment horizontal="center" vertical="center"/>
    </xf>
    <xf numFmtId="0" fontId="4" fillId="0" borderId="28" xfId="0" applyFont="1" applyFill="1" applyBorder="1" applyAlignment="1" applyProtection="1">
      <alignment horizontal="center" vertical="center"/>
    </xf>
    <xf numFmtId="0" fontId="8" fillId="0" borderId="13" xfId="0" applyFont="1" applyFill="1" applyBorder="1" applyAlignment="1" applyProtection="1">
      <alignment horizontal="center"/>
    </xf>
    <xf numFmtId="0" fontId="8" fillId="0" borderId="14" xfId="0" applyFont="1" applyFill="1" applyBorder="1" applyAlignment="1" applyProtection="1">
      <alignment horizontal="center"/>
    </xf>
    <xf numFmtId="0" fontId="8" fillId="0" borderId="15" xfId="0" applyFont="1" applyFill="1" applyBorder="1" applyAlignment="1" applyProtection="1">
      <alignment horizontal="center"/>
    </xf>
    <xf numFmtId="0" fontId="4" fillId="0" borderId="6" xfId="0" applyFont="1" applyFill="1" applyBorder="1" applyAlignment="1" applyProtection="1">
      <alignment horizontal="center"/>
    </xf>
    <xf numFmtId="0" fontId="4" fillId="0" borderId="23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/>
      <protection locked="0"/>
    </xf>
    <xf numFmtId="0" fontId="5" fillId="2" borderId="9" xfId="0" applyFont="1" applyFill="1" applyBorder="1" applyAlignment="1" applyProtection="1">
      <alignment horizontal="left" vertical="center"/>
      <protection locked="0"/>
    </xf>
    <xf numFmtId="0" fontId="4" fillId="0" borderId="3" xfId="0" applyFont="1" applyFill="1" applyBorder="1" applyAlignment="1" applyProtection="1">
      <alignment horizontal="left" vertical="center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27" xfId="0" applyBorder="1" applyAlignment="1" applyProtection="1">
      <alignment horizontal="left"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1" fillId="0" borderId="13" xfId="0" applyFont="1" applyFill="1" applyBorder="1" applyAlignment="1" applyProtection="1">
      <alignment horizontal="center"/>
    </xf>
    <xf numFmtId="0" fontId="11" fillId="0" borderId="14" xfId="0" applyFont="1" applyFill="1" applyBorder="1" applyAlignment="1" applyProtection="1">
      <alignment horizontal="center"/>
    </xf>
    <xf numFmtId="0" fontId="11" fillId="0" borderId="15" xfId="0" applyFont="1" applyFill="1" applyBorder="1" applyAlignment="1" applyProtection="1">
      <alignment horizontal="center"/>
    </xf>
    <xf numFmtId="0" fontId="10" fillId="0" borderId="16" xfId="0" applyFont="1" applyFill="1" applyBorder="1" applyAlignment="1" applyProtection="1">
      <alignment horizontal="center"/>
    </xf>
    <xf numFmtId="0" fontId="10" fillId="0" borderId="0" xfId="0" applyFont="1" applyFill="1" applyBorder="1" applyAlignment="1" applyProtection="1">
      <alignment horizontal="center"/>
    </xf>
    <xf numFmtId="0" fontId="10" fillId="0" borderId="17" xfId="0" applyFont="1" applyFill="1" applyBorder="1" applyAlignment="1" applyProtection="1">
      <alignment horizontal="center"/>
    </xf>
    <xf numFmtId="0" fontId="5" fillId="2" borderId="35" xfId="0" applyFont="1" applyFill="1" applyBorder="1" applyAlignment="1" applyProtection="1">
      <alignment horizontal="left" vertical="center"/>
      <protection locked="0"/>
    </xf>
    <xf numFmtId="0" fontId="5" fillId="2" borderId="14" xfId="0" applyFont="1" applyFill="1" applyBorder="1" applyAlignment="1" applyProtection="1">
      <alignment horizontal="left" vertical="center"/>
      <protection locked="0"/>
    </xf>
    <xf numFmtId="0" fontId="5" fillId="2" borderId="15" xfId="0" applyFont="1" applyFill="1" applyBorder="1" applyAlignment="1" applyProtection="1">
      <alignment horizontal="left" vertical="center"/>
      <protection locked="0"/>
    </xf>
    <xf numFmtId="0" fontId="4" fillId="0" borderId="30" xfId="0" applyFont="1" applyFill="1" applyBorder="1" applyAlignment="1" applyProtection="1">
      <alignment horizontal="left" vertical="center"/>
    </xf>
    <xf numFmtId="0" fontId="5" fillId="2" borderId="6" xfId="0" applyFont="1" applyFill="1" applyBorder="1" applyAlignment="1" applyProtection="1">
      <alignment horizontal="left" vertical="center"/>
      <protection locked="0"/>
    </xf>
    <xf numFmtId="0" fontId="5" fillId="2" borderId="7" xfId="0" applyFont="1" applyFill="1" applyBorder="1" applyAlignment="1" applyProtection="1">
      <alignment horizontal="left" vertical="center"/>
      <protection locked="0"/>
    </xf>
    <xf numFmtId="0" fontId="5" fillId="2" borderId="32" xfId="0" applyFont="1" applyFill="1" applyBorder="1" applyAlignment="1" applyProtection="1">
      <alignment horizontal="left" vertical="center"/>
      <protection locked="0"/>
    </xf>
    <xf numFmtId="0" fontId="0" fillId="0" borderId="33" xfId="0" applyBorder="1" applyAlignment="1" applyProtection="1">
      <alignment horizontal="left" vertical="center"/>
      <protection locked="0"/>
    </xf>
    <xf numFmtId="0" fontId="0" fillId="0" borderId="34" xfId="0" applyBorder="1" applyAlignment="1" applyProtection="1">
      <alignment horizontal="left" vertical="center"/>
      <protection locked="0"/>
    </xf>
    <xf numFmtId="0" fontId="4" fillId="0" borderId="33" xfId="0" applyFont="1" applyFill="1" applyBorder="1" applyAlignment="1" applyProtection="1">
      <alignment horizontal="left" vertical="center"/>
    </xf>
    <xf numFmtId="14" fontId="5" fillId="2" borderId="11" xfId="0" applyNumberFormat="1" applyFont="1" applyFill="1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66"/>
      <color rgb="FFB8CCE4"/>
      <color rgb="FFFCD5B4"/>
      <color rgb="FFFF99CC"/>
      <color rgb="FF92D050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0B28C-5C7E-4928-824C-B68E934E753F}">
  <sheetPr>
    <pageSetUpPr fitToPage="1"/>
  </sheetPr>
  <dimension ref="A1:R56"/>
  <sheetViews>
    <sheetView tabSelected="1" view="pageBreakPreview" topLeftCell="C21" zoomScale="55" zoomScaleNormal="70" zoomScaleSheetLayoutView="55" workbookViewId="0">
      <selection activeCell="N23" sqref="N23"/>
    </sheetView>
  </sheetViews>
  <sheetFormatPr defaultColWidth="9.109375" defaultRowHeight="17.100000000000001" customHeight="1" x14ac:dyDescent="0.3"/>
  <cols>
    <col min="1" max="1" width="30.33203125" style="13" customWidth="1"/>
    <col min="2" max="2" width="61.5546875" style="13" customWidth="1"/>
    <col min="3" max="3" width="20.88671875" style="13" customWidth="1"/>
    <col min="4" max="4" width="29" style="13" customWidth="1"/>
    <col min="5" max="5" width="28.6640625" style="13" customWidth="1"/>
    <col min="6" max="6" width="14.44140625" style="13" customWidth="1"/>
    <col min="7" max="7" width="16" style="13" customWidth="1"/>
    <col min="8" max="8" width="13" style="17" customWidth="1"/>
    <col min="9" max="9" width="14.88671875" style="13" customWidth="1"/>
    <col min="10" max="10" width="11.6640625" style="13" customWidth="1"/>
    <col min="11" max="11" width="19" style="13" customWidth="1"/>
    <col min="12" max="12" width="15.33203125" style="13" customWidth="1"/>
    <col min="13" max="13" width="21.109375" style="13" customWidth="1"/>
    <col min="14" max="18" width="24.77734375" style="13" customWidth="1"/>
    <col min="19" max="16384" width="9.109375" style="13"/>
  </cols>
  <sheetData>
    <row r="1" spans="1:18" s="1" customFormat="1" ht="34.200000000000003" customHeight="1" x14ac:dyDescent="0.55000000000000004">
      <c r="A1" s="133" t="s">
        <v>25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5"/>
    </row>
    <row r="2" spans="1:18" s="1" customFormat="1" ht="25.2" customHeight="1" x14ac:dyDescent="0.4">
      <c r="A2" s="136" t="s">
        <v>45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8"/>
    </row>
    <row r="3" spans="1:18" s="1" customFormat="1" ht="25.2" customHeight="1" x14ac:dyDescent="0.4">
      <c r="A3" s="136" t="s">
        <v>15</v>
      </c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8"/>
    </row>
    <row r="4" spans="1:18" s="1" customFormat="1" ht="25.2" customHeight="1" thickBot="1" x14ac:dyDescent="0.45">
      <c r="A4" s="136" t="s">
        <v>34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8"/>
    </row>
    <row r="5" spans="1:18" s="3" customFormat="1" ht="30" customHeight="1" x14ac:dyDescent="0.4">
      <c r="A5" s="18" t="s">
        <v>16</v>
      </c>
      <c r="B5" s="139" t="s">
        <v>44</v>
      </c>
      <c r="C5" s="140"/>
      <c r="D5" s="140"/>
      <c r="E5" s="140"/>
      <c r="F5" s="140"/>
      <c r="G5" s="140"/>
      <c r="H5" s="140"/>
      <c r="I5" s="140"/>
      <c r="J5" s="141"/>
      <c r="K5" s="142" t="s">
        <v>41</v>
      </c>
      <c r="L5" s="142"/>
      <c r="M5" s="143"/>
      <c r="N5" s="143"/>
      <c r="O5" s="143"/>
      <c r="P5" s="143"/>
      <c r="Q5" s="143"/>
      <c r="R5" s="144"/>
    </row>
    <row r="6" spans="1:18" s="3" customFormat="1" ht="30" customHeight="1" x14ac:dyDescent="0.4">
      <c r="A6" s="2" t="s">
        <v>17</v>
      </c>
      <c r="B6" s="124" t="s">
        <v>44</v>
      </c>
      <c r="C6" s="124"/>
      <c r="D6" s="124"/>
      <c r="E6" s="124"/>
      <c r="F6" s="124"/>
      <c r="G6" s="124"/>
      <c r="H6" s="124"/>
      <c r="I6" s="124"/>
      <c r="J6" s="125"/>
      <c r="K6" s="126" t="s">
        <v>21</v>
      </c>
      <c r="L6" s="126"/>
      <c r="M6" s="124"/>
      <c r="N6" s="124"/>
      <c r="O6" s="127"/>
      <c r="P6" s="127"/>
      <c r="Q6" s="127"/>
      <c r="R6" s="128"/>
    </row>
    <row r="7" spans="1:18" s="3" customFormat="1" ht="30" customHeight="1" x14ac:dyDescent="0.4">
      <c r="A7" s="2" t="s">
        <v>18</v>
      </c>
      <c r="B7" s="129" t="s">
        <v>42</v>
      </c>
      <c r="C7" s="130"/>
      <c r="D7" s="130"/>
      <c r="E7" s="130"/>
      <c r="F7" s="130"/>
      <c r="G7" s="130"/>
      <c r="H7" s="130"/>
      <c r="I7" s="130"/>
      <c r="J7" s="131"/>
      <c r="K7" s="126" t="s">
        <v>20</v>
      </c>
      <c r="L7" s="126"/>
      <c r="M7" s="124"/>
      <c r="N7" s="124"/>
      <c r="O7" s="127"/>
      <c r="P7" s="127"/>
      <c r="Q7" s="127"/>
      <c r="R7" s="128"/>
    </row>
    <row r="8" spans="1:18" s="3" customFormat="1" ht="30" customHeight="1" thickBot="1" x14ac:dyDescent="0.45">
      <c r="A8" s="21" t="s">
        <v>19</v>
      </c>
      <c r="B8" s="145" t="s">
        <v>46</v>
      </c>
      <c r="C8" s="146"/>
      <c r="D8" s="146"/>
      <c r="E8" s="146"/>
      <c r="F8" s="146"/>
      <c r="G8" s="146"/>
      <c r="H8" s="146"/>
      <c r="I8" s="146"/>
      <c r="J8" s="147"/>
      <c r="K8" s="148" t="s">
        <v>22</v>
      </c>
      <c r="L8" s="148"/>
      <c r="M8" s="149"/>
      <c r="N8" s="149"/>
      <c r="O8" s="150"/>
      <c r="P8" s="150"/>
      <c r="Q8" s="150"/>
      <c r="R8" s="151"/>
    </row>
    <row r="9" spans="1:18" s="4" customFormat="1" ht="24.6" customHeight="1" thickBot="1" x14ac:dyDescent="0.45">
      <c r="A9" s="116" t="s">
        <v>23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8"/>
    </row>
    <row r="10" spans="1:18" s="4" customFormat="1" ht="15.6" customHeight="1" thickBot="1" x14ac:dyDescent="0.45">
      <c r="A10" s="119"/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1"/>
    </row>
    <row r="11" spans="1:18" s="4" customFormat="1" ht="34.950000000000003" customHeight="1" x14ac:dyDescent="0.4">
      <c r="A11" s="14" t="s">
        <v>36</v>
      </c>
      <c r="B11" s="15" t="s">
        <v>8</v>
      </c>
      <c r="C11" s="15" t="s">
        <v>4</v>
      </c>
      <c r="D11" s="15" t="s">
        <v>5</v>
      </c>
      <c r="E11" s="15" t="s">
        <v>4</v>
      </c>
      <c r="F11" s="15" t="s">
        <v>5</v>
      </c>
      <c r="G11" s="15" t="s">
        <v>4</v>
      </c>
      <c r="H11" s="122" t="s">
        <v>26</v>
      </c>
      <c r="I11" s="122"/>
      <c r="J11" s="122" t="s">
        <v>27</v>
      </c>
      <c r="K11" s="122"/>
      <c r="L11" s="111" t="s">
        <v>14</v>
      </c>
      <c r="M11" s="123"/>
      <c r="N11" s="111" t="s">
        <v>51</v>
      </c>
      <c r="O11" s="132"/>
      <c r="P11" s="6"/>
      <c r="Q11" s="6"/>
      <c r="R11" s="7"/>
    </row>
    <row r="12" spans="1:18" s="4" customFormat="1" ht="34.950000000000003" customHeight="1" thickBot="1" x14ac:dyDescent="0.45">
      <c r="A12" s="38" t="s">
        <v>28</v>
      </c>
      <c r="B12" s="39">
        <v>66.44</v>
      </c>
      <c r="C12" s="40">
        <v>50</v>
      </c>
      <c r="D12" s="40">
        <v>5</v>
      </c>
      <c r="E12" s="40">
        <v>25</v>
      </c>
      <c r="F12" s="40">
        <v>1</v>
      </c>
      <c r="G12" s="40">
        <v>1</v>
      </c>
      <c r="H12" s="104">
        <v>1</v>
      </c>
      <c r="I12" s="104"/>
      <c r="J12" s="104">
        <v>1</v>
      </c>
      <c r="K12" s="104"/>
      <c r="L12" s="105">
        <v>99.64</v>
      </c>
      <c r="M12" s="106"/>
      <c r="N12" s="114">
        <f>B12/C12*D12/E12*F12/G12*H12/J12*L12/100*1000</f>
        <v>264.80326399999996</v>
      </c>
      <c r="O12" s="115"/>
      <c r="P12" s="6"/>
      <c r="Q12" s="6"/>
      <c r="R12" s="7"/>
    </row>
    <row r="13" spans="1:18" s="4" customFormat="1" ht="15" customHeight="1" thickBot="1" x14ac:dyDescent="0.45">
      <c r="A13" s="107"/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9"/>
    </row>
    <row r="14" spans="1:18" s="24" customFormat="1" ht="34.950000000000003" customHeight="1" x14ac:dyDescent="0.3">
      <c r="A14" s="14" t="s">
        <v>60</v>
      </c>
      <c r="B14" s="26" t="s">
        <v>28</v>
      </c>
      <c r="C14" s="22"/>
      <c r="D14" s="33" t="s">
        <v>59</v>
      </c>
      <c r="E14" s="26" t="str">
        <f>B14</f>
        <v>Bupivacaine</v>
      </c>
      <c r="F14" s="22"/>
      <c r="G14" s="22"/>
      <c r="H14" s="110" t="s">
        <v>59</v>
      </c>
      <c r="I14" s="111"/>
      <c r="J14" s="112" t="str">
        <f>E14</f>
        <v>Bupivacaine</v>
      </c>
      <c r="K14" s="113"/>
      <c r="L14" s="22"/>
      <c r="M14" s="22"/>
      <c r="N14" s="22"/>
      <c r="O14" s="22"/>
      <c r="P14" s="22"/>
      <c r="Q14" s="22"/>
      <c r="R14" s="23"/>
    </row>
    <row r="15" spans="1:18" s="24" customFormat="1" ht="34.950000000000003" customHeight="1" x14ac:dyDescent="0.3">
      <c r="A15" s="5" t="s">
        <v>3</v>
      </c>
      <c r="B15" s="27" t="s">
        <v>6</v>
      </c>
      <c r="C15" s="22"/>
      <c r="D15" s="34" t="s">
        <v>35</v>
      </c>
      <c r="E15" s="27" t="s">
        <v>6</v>
      </c>
      <c r="F15" s="22"/>
      <c r="G15" s="22"/>
      <c r="H15" s="101" t="s">
        <v>35</v>
      </c>
      <c r="I15" s="102"/>
      <c r="J15" s="102" t="s">
        <v>6</v>
      </c>
      <c r="K15" s="103"/>
      <c r="L15" s="22"/>
      <c r="M15" s="22"/>
      <c r="N15" s="22"/>
      <c r="O15" s="22"/>
      <c r="P15" s="22"/>
      <c r="Q15" s="22"/>
      <c r="R15" s="23"/>
    </row>
    <row r="16" spans="1:18" s="24" customFormat="1" ht="34.950000000000003" customHeight="1" x14ac:dyDescent="0.3">
      <c r="A16" s="8">
        <v>1</v>
      </c>
      <c r="B16" s="28">
        <v>1407121</v>
      </c>
      <c r="C16" s="22"/>
      <c r="D16" s="35">
        <v>1</v>
      </c>
      <c r="E16" s="28">
        <v>1405234</v>
      </c>
      <c r="F16" s="22"/>
      <c r="G16" s="22"/>
      <c r="H16" s="89">
        <v>7</v>
      </c>
      <c r="I16" s="90"/>
      <c r="J16" s="91"/>
      <c r="K16" s="92"/>
      <c r="L16" s="22"/>
      <c r="M16" s="22"/>
      <c r="N16" s="22"/>
      <c r="O16" s="22"/>
      <c r="P16" s="22"/>
      <c r="Q16" s="22"/>
      <c r="R16" s="23"/>
    </row>
    <row r="17" spans="1:18" s="24" customFormat="1" ht="34.950000000000003" customHeight="1" x14ac:dyDescent="0.3">
      <c r="A17" s="8">
        <v>2</v>
      </c>
      <c r="B17" s="28">
        <v>1407985</v>
      </c>
      <c r="C17" s="22"/>
      <c r="D17" s="35">
        <v>2</v>
      </c>
      <c r="E17" s="28">
        <v>1402404</v>
      </c>
      <c r="F17" s="22"/>
      <c r="G17" s="22"/>
      <c r="H17" s="89">
        <v>8</v>
      </c>
      <c r="I17" s="90"/>
      <c r="J17" s="91"/>
      <c r="K17" s="92"/>
      <c r="L17" s="22"/>
      <c r="M17" s="22"/>
      <c r="N17" s="22"/>
      <c r="O17" s="22"/>
      <c r="P17" s="22"/>
      <c r="Q17" s="22"/>
      <c r="R17" s="23"/>
    </row>
    <row r="18" spans="1:18" s="24" customFormat="1" ht="34.950000000000003" customHeight="1" x14ac:dyDescent="0.3">
      <c r="A18" s="8">
        <v>3</v>
      </c>
      <c r="B18" s="28">
        <v>1407371</v>
      </c>
      <c r="C18" s="22"/>
      <c r="D18" s="35">
        <v>3</v>
      </c>
      <c r="E18" s="28"/>
      <c r="F18" s="22"/>
      <c r="G18" s="22"/>
      <c r="H18" s="89">
        <v>9</v>
      </c>
      <c r="I18" s="90"/>
      <c r="J18" s="91"/>
      <c r="K18" s="92"/>
      <c r="L18" s="22"/>
      <c r="M18" s="22"/>
      <c r="N18" s="22"/>
      <c r="O18" s="22"/>
      <c r="P18" s="22"/>
      <c r="Q18" s="22"/>
      <c r="R18" s="23"/>
    </row>
    <row r="19" spans="1:18" s="24" customFormat="1" ht="34.950000000000003" customHeight="1" x14ac:dyDescent="0.3">
      <c r="A19" s="8">
        <v>4</v>
      </c>
      <c r="B19" s="28">
        <v>1407469</v>
      </c>
      <c r="C19" s="22"/>
      <c r="D19" s="35">
        <v>4</v>
      </c>
      <c r="E19" s="28"/>
      <c r="F19" s="22"/>
      <c r="G19" s="22"/>
      <c r="H19" s="89">
        <v>10</v>
      </c>
      <c r="I19" s="90"/>
      <c r="J19" s="91"/>
      <c r="K19" s="92"/>
      <c r="L19" s="22"/>
      <c r="M19" s="22"/>
      <c r="N19" s="22"/>
      <c r="O19" s="22"/>
      <c r="P19" s="22"/>
      <c r="Q19" s="22"/>
      <c r="R19" s="23"/>
    </row>
    <row r="20" spans="1:18" s="24" customFormat="1" ht="34.950000000000003" customHeight="1" x14ac:dyDescent="0.3">
      <c r="A20" s="8">
        <v>5</v>
      </c>
      <c r="B20" s="28">
        <v>1407296</v>
      </c>
      <c r="C20" s="22"/>
      <c r="D20" s="35">
        <v>5</v>
      </c>
      <c r="E20" s="28"/>
      <c r="F20" s="22"/>
      <c r="G20" s="22"/>
      <c r="H20" s="89">
        <v>11</v>
      </c>
      <c r="I20" s="90"/>
      <c r="J20" s="91"/>
      <c r="K20" s="92"/>
      <c r="L20" s="22"/>
      <c r="M20" s="22"/>
      <c r="N20" s="22"/>
      <c r="O20" s="22"/>
      <c r="P20" s="22"/>
      <c r="Q20" s="22"/>
      <c r="R20" s="23"/>
    </row>
    <row r="21" spans="1:18" s="24" customFormat="1" ht="34.950000000000003" customHeight="1" x14ac:dyDescent="0.3">
      <c r="A21" s="8">
        <v>6</v>
      </c>
      <c r="B21" s="28">
        <v>1407392</v>
      </c>
      <c r="C21" s="22"/>
      <c r="D21" s="35">
        <v>6</v>
      </c>
      <c r="E21" s="28"/>
      <c r="F21" s="22"/>
      <c r="G21" s="22"/>
      <c r="H21" s="89">
        <v>12</v>
      </c>
      <c r="I21" s="90"/>
      <c r="J21" s="91"/>
      <c r="K21" s="92"/>
      <c r="L21" s="22"/>
      <c r="M21" s="22"/>
      <c r="N21" s="22"/>
      <c r="O21" s="22"/>
      <c r="P21" s="22"/>
      <c r="Q21" s="22"/>
      <c r="R21" s="23"/>
    </row>
    <row r="22" spans="1:18" s="24" customFormat="1" ht="34.950000000000003" customHeight="1" x14ac:dyDescent="0.3">
      <c r="A22" s="41" t="s">
        <v>0</v>
      </c>
      <c r="B22" s="29">
        <f>AVERAGE(B16:B21)</f>
        <v>1407439</v>
      </c>
      <c r="C22" s="22"/>
      <c r="D22" s="42" t="s">
        <v>0</v>
      </c>
      <c r="E22" s="29">
        <f>AVERAGE(E16:E21,B16:B21)</f>
        <v>1406534</v>
      </c>
      <c r="F22" s="22"/>
      <c r="G22" s="22"/>
      <c r="H22" s="93" t="s">
        <v>0</v>
      </c>
      <c r="I22" s="94"/>
      <c r="J22" s="95">
        <f>AVERAGE(B16:B21,J16:J21,E16:E21)</f>
        <v>1406534</v>
      </c>
      <c r="K22" s="96"/>
      <c r="L22" s="22"/>
      <c r="M22" s="22"/>
      <c r="N22" s="22"/>
      <c r="O22" s="22"/>
      <c r="P22" s="22"/>
      <c r="Q22" s="22"/>
      <c r="R22" s="23"/>
    </row>
    <row r="23" spans="1:18" s="24" customFormat="1" ht="34.950000000000003" customHeight="1" x14ac:dyDescent="0.3">
      <c r="A23" s="25" t="s">
        <v>1</v>
      </c>
      <c r="B23" s="30">
        <f>STDEV(B16:B21)</f>
        <v>292.37715369022936</v>
      </c>
      <c r="C23" s="22"/>
      <c r="D23" s="36" t="s">
        <v>1</v>
      </c>
      <c r="E23" s="30">
        <f>STDEV(B16:B21,E16:E21)</f>
        <v>1855.0499415687671</v>
      </c>
      <c r="F23" s="22"/>
      <c r="G23" s="22"/>
      <c r="H23" s="97" t="s">
        <v>1</v>
      </c>
      <c r="I23" s="98"/>
      <c r="J23" s="99">
        <f>STDEV(B16:B21,E16:E21,J16:J21)</f>
        <v>1855.0499415687671</v>
      </c>
      <c r="K23" s="100"/>
      <c r="L23" s="22"/>
      <c r="M23" s="22"/>
      <c r="N23" s="22"/>
      <c r="O23" s="22"/>
      <c r="P23" s="22"/>
      <c r="Q23" s="22"/>
      <c r="R23" s="23"/>
    </row>
    <row r="24" spans="1:18" s="24" customFormat="1" ht="34.950000000000003" customHeight="1" thickBot="1" x14ac:dyDescent="0.35">
      <c r="A24" s="31" t="s">
        <v>2</v>
      </c>
      <c r="B24" s="32">
        <f>B23*100/B22</f>
        <v>2.0773699868358725E-2</v>
      </c>
      <c r="C24" s="22"/>
      <c r="D24" s="37" t="s">
        <v>2</v>
      </c>
      <c r="E24" s="32">
        <f>E23*100/E22</f>
        <v>0.1318880269917945</v>
      </c>
      <c r="F24" s="22"/>
      <c r="G24" s="22"/>
      <c r="H24" s="82" t="s">
        <v>2</v>
      </c>
      <c r="I24" s="83"/>
      <c r="J24" s="84">
        <f>J23*100/J22</f>
        <v>0.1318880269917945</v>
      </c>
      <c r="K24" s="85"/>
      <c r="L24" s="22"/>
      <c r="M24" s="22"/>
      <c r="N24" s="22"/>
      <c r="O24" s="22"/>
      <c r="P24" s="22"/>
      <c r="Q24" s="22"/>
      <c r="R24" s="23"/>
    </row>
    <row r="25" spans="1:18" ht="17.100000000000001" customHeight="1" thickBot="1" x14ac:dyDescent="0.4">
      <c r="A25" s="9"/>
      <c r="B25" s="10"/>
      <c r="C25" s="10"/>
      <c r="D25" s="10"/>
      <c r="E25" s="10"/>
      <c r="F25" s="11"/>
      <c r="G25" s="11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2"/>
    </row>
    <row r="26" spans="1:18" ht="31.95" customHeight="1" thickBot="1" x14ac:dyDescent="0.35">
      <c r="A26" s="86" t="s">
        <v>24</v>
      </c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8"/>
    </row>
    <row r="27" spans="1:18" s="16" customFormat="1" ht="70.95" customHeight="1" x14ac:dyDescent="0.3">
      <c r="A27" s="14" t="s">
        <v>13</v>
      </c>
      <c r="B27" s="15" t="s">
        <v>12</v>
      </c>
      <c r="C27" s="15" t="s">
        <v>11</v>
      </c>
      <c r="D27" s="15" t="s">
        <v>7</v>
      </c>
      <c r="E27" s="15" t="s">
        <v>38</v>
      </c>
      <c r="F27" s="15" t="s">
        <v>37</v>
      </c>
      <c r="G27" s="15" t="s">
        <v>31</v>
      </c>
      <c r="H27" s="15" t="s">
        <v>4</v>
      </c>
      <c r="I27" s="15" t="s">
        <v>5</v>
      </c>
      <c r="J27" s="15" t="s">
        <v>4</v>
      </c>
      <c r="K27" s="15" t="s">
        <v>43</v>
      </c>
      <c r="L27" s="15" t="s">
        <v>40</v>
      </c>
      <c r="M27" s="15" t="s">
        <v>30</v>
      </c>
      <c r="N27" s="15" t="s">
        <v>57</v>
      </c>
      <c r="O27" s="19" t="s">
        <v>39</v>
      </c>
      <c r="P27" s="19" t="s">
        <v>56</v>
      </c>
      <c r="Q27" s="20" t="s">
        <v>33</v>
      </c>
      <c r="R27" s="20" t="s">
        <v>32</v>
      </c>
    </row>
    <row r="28" spans="1:18" ht="28.05" customHeight="1" x14ac:dyDescent="0.3">
      <c r="A28" s="78"/>
      <c r="B28" s="81" t="s">
        <v>52</v>
      </c>
      <c r="C28" s="80" t="s">
        <v>29</v>
      </c>
      <c r="D28" s="80" t="s">
        <v>47</v>
      </c>
      <c r="E28" s="80" t="s">
        <v>48</v>
      </c>
      <c r="F28" s="72">
        <v>13.3</v>
      </c>
      <c r="G28" s="72">
        <v>1</v>
      </c>
      <c r="H28" s="72">
        <v>5</v>
      </c>
      <c r="I28" s="72">
        <v>1</v>
      </c>
      <c r="J28" s="72">
        <v>1</v>
      </c>
      <c r="K28" s="73">
        <v>712534</v>
      </c>
      <c r="L28" s="75">
        <f>IFERROR((K28/$B$22*$B$12/$C$12*$D$12/$E$12*$F$12/$G$12*$H$12/$J$12*H28/G28*J28/I28*1/F28*$L$12), "")</f>
        <v>5.0398511351227402</v>
      </c>
      <c r="M28" s="76">
        <v>101.5</v>
      </c>
      <c r="N28" s="77">
        <f>IFERROR((M28*F28/100), "")</f>
        <v>13.499500000000001</v>
      </c>
      <c r="O28" s="43">
        <f>IFERROR((L28/M28)*100, "")</f>
        <v>4.965370576475606</v>
      </c>
      <c r="P28" s="43">
        <f>IFERROR((K28/$B$22*$B$12/$C$12*$D$12/$E$12*$F$12/$G$12*$H$12/$J$12*H28/G28*J28/I28*$L$12/100)/N28*F28, "")</f>
        <v>0.66039428667125555</v>
      </c>
      <c r="Q28" s="44">
        <f>IFERROR(((M28-O28)/(M28)*100), "")</f>
        <v>95.10800928426049</v>
      </c>
      <c r="R28" s="74">
        <f>IFERROR(((N28-P28)/(N28)*F28), "")</f>
        <v>12.649365234806645</v>
      </c>
    </row>
    <row r="29" spans="1:18" ht="28.05" customHeight="1" x14ac:dyDescent="0.3">
      <c r="A29" s="78"/>
      <c r="B29" s="79"/>
      <c r="C29" s="80"/>
      <c r="D29" s="80"/>
      <c r="E29" s="80"/>
      <c r="F29" s="72"/>
      <c r="G29" s="72"/>
      <c r="H29" s="72"/>
      <c r="I29" s="72"/>
      <c r="J29" s="72"/>
      <c r="K29" s="73"/>
      <c r="L29" s="75"/>
      <c r="M29" s="76"/>
      <c r="N29" s="77"/>
      <c r="O29" s="43"/>
      <c r="P29" s="43"/>
      <c r="Q29" s="44"/>
      <c r="R29" s="74"/>
    </row>
    <row r="30" spans="1:18" ht="28.05" customHeight="1" x14ac:dyDescent="0.3">
      <c r="A30" s="78"/>
      <c r="B30" s="81" t="s">
        <v>53</v>
      </c>
      <c r="C30" s="80" t="s">
        <v>29</v>
      </c>
      <c r="D30" s="80" t="s">
        <v>49</v>
      </c>
      <c r="E30" s="80" t="s">
        <v>50</v>
      </c>
      <c r="F30" s="72">
        <v>13.3</v>
      </c>
      <c r="G30" s="72">
        <v>1</v>
      </c>
      <c r="H30" s="72">
        <v>5</v>
      </c>
      <c r="I30" s="72">
        <v>1</v>
      </c>
      <c r="J30" s="72">
        <v>1</v>
      </c>
      <c r="K30" s="73">
        <v>1825540</v>
      </c>
      <c r="L30" s="75">
        <f t="shared" ref="L30" si="0">IFERROR((K30/$B$22*$B$12/$C$12*$D$12/$E$12*$F$12/$G$12*$H$12/$J$12*H30/G30*J30/I30*1/F30*$L$12), "")</f>
        <v>12.912295892142643</v>
      </c>
      <c r="M30" s="76">
        <v>101.5</v>
      </c>
      <c r="N30" s="77">
        <f t="shared" ref="N30" si="1">IFERROR((M30*F30/100), "")</f>
        <v>13.499500000000001</v>
      </c>
      <c r="O30" s="43">
        <f t="shared" ref="O30" si="2">IFERROR((L30/M30)*100, "")</f>
        <v>12.721473785362209</v>
      </c>
      <c r="P30" s="43">
        <f t="shared" ref="P30" si="3">IFERROR((K30/$B$22*$B$12/$C$12*$D$12/$E$12*$F$12/$G$12*$H$12/$J$12*H30/G30*J30/I30*$L$12/100)/N30*F30, "")</f>
        <v>1.6919560134531741</v>
      </c>
      <c r="Q30" s="44">
        <f t="shared" ref="Q30" si="4">IFERROR(((M30-O30)/(M30)*100), "")</f>
        <v>87.466528290283534</v>
      </c>
      <c r="R30" s="74">
        <f t="shared" ref="R30" si="5">IFERROR(((N30-P30)/(N30)*F30), "")</f>
        <v>11.633048262607712</v>
      </c>
    </row>
    <row r="31" spans="1:18" ht="28.05" customHeight="1" x14ac:dyDescent="0.3">
      <c r="A31" s="78"/>
      <c r="B31" s="79"/>
      <c r="C31" s="80"/>
      <c r="D31" s="80"/>
      <c r="E31" s="80"/>
      <c r="F31" s="72"/>
      <c r="G31" s="72"/>
      <c r="H31" s="72"/>
      <c r="I31" s="72"/>
      <c r="J31" s="72"/>
      <c r="K31" s="73"/>
      <c r="L31" s="75"/>
      <c r="M31" s="76"/>
      <c r="N31" s="77"/>
      <c r="O31" s="43"/>
      <c r="P31" s="43"/>
      <c r="Q31" s="44"/>
      <c r="R31" s="74"/>
    </row>
    <row r="32" spans="1:18" ht="28.05" customHeight="1" x14ac:dyDescent="0.3">
      <c r="A32" s="78"/>
      <c r="B32" s="81" t="s">
        <v>54</v>
      </c>
      <c r="C32" s="80" t="s">
        <v>29</v>
      </c>
      <c r="D32" s="80" t="s">
        <v>47</v>
      </c>
      <c r="E32" s="80" t="s">
        <v>48</v>
      </c>
      <c r="F32" s="72">
        <v>13.3</v>
      </c>
      <c r="G32" s="72">
        <v>1</v>
      </c>
      <c r="H32" s="72">
        <v>5</v>
      </c>
      <c r="I32" s="72">
        <v>1</v>
      </c>
      <c r="J32" s="72">
        <v>1</v>
      </c>
      <c r="K32" s="73">
        <v>714272</v>
      </c>
      <c r="L32" s="75">
        <f t="shared" ref="L32" si="6">IFERROR((K32/$B$22*$B$12/$C$12*$D$12/$E$12*$F$12/$G$12*$H$12/$J$12*H32/G32*J32/I32*1/F32*$L$12), "")</f>
        <v>5.0521442485360559</v>
      </c>
      <c r="M32" s="76">
        <v>101.5</v>
      </c>
      <c r="N32" s="77">
        <f t="shared" ref="N32" si="7">IFERROR((M32*F32/100), "")</f>
        <v>13.499500000000001</v>
      </c>
      <c r="O32" s="43">
        <f t="shared" ref="O32" si="8">IFERROR((L32/M32)*100, "")</f>
        <v>4.9774820182621244</v>
      </c>
      <c r="P32" s="43">
        <f t="shared" ref="P32" si="9">IFERROR((K32/$B$22*$B$12/$C$12*$D$12/$E$12*$F$12/$G$12*$H$12/$J$12*H32/G32*J32/I32*$L$12/100)/N32*F32, "")</f>
        <v>0.6620051084288624</v>
      </c>
      <c r="Q32" s="44">
        <f t="shared" ref="Q32" si="10">IFERROR(((M32-O32)/(M32)*100), "")</f>
        <v>95.096076829298397</v>
      </c>
      <c r="R32" s="74">
        <f t="shared" ref="R32" si="11">IFERROR(((N32-P32)/(N32)*F32), "")</f>
        <v>12.647778218296686</v>
      </c>
    </row>
    <row r="33" spans="1:18" ht="28.05" customHeight="1" x14ac:dyDescent="0.3">
      <c r="A33" s="78"/>
      <c r="B33" s="79"/>
      <c r="C33" s="80"/>
      <c r="D33" s="80"/>
      <c r="E33" s="80"/>
      <c r="F33" s="72"/>
      <c r="G33" s="72"/>
      <c r="H33" s="72"/>
      <c r="I33" s="72"/>
      <c r="J33" s="72"/>
      <c r="K33" s="73"/>
      <c r="L33" s="75"/>
      <c r="M33" s="76"/>
      <c r="N33" s="77"/>
      <c r="O33" s="43"/>
      <c r="P33" s="43"/>
      <c r="Q33" s="44"/>
      <c r="R33" s="74"/>
    </row>
    <row r="34" spans="1:18" ht="28.05" customHeight="1" x14ac:dyDescent="0.3">
      <c r="A34" s="78"/>
      <c r="B34" s="81" t="s">
        <v>55</v>
      </c>
      <c r="C34" s="80" t="s">
        <v>29</v>
      </c>
      <c r="D34" s="80" t="s">
        <v>49</v>
      </c>
      <c r="E34" s="80" t="s">
        <v>50</v>
      </c>
      <c r="F34" s="72">
        <v>13.3</v>
      </c>
      <c r="G34" s="72">
        <v>1</v>
      </c>
      <c r="H34" s="72">
        <v>5</v>
      </c>
      <c r="I34" s="72">
        <v>1</v>
      </c>
      <c r="J34" s="72">
        <v>1</v>
      </c>
      <c r="K34" s="73">
        <v>1830013</v>
      </c>
      <c r="L34" s="75">
        <f t="shared" ref="L34" si="12">IFERROR((K34/$B$22*$B$12/$C$12*$D$12/$E$12*$F$12/$G$12*$H$12/$J$12*H34/G34*J34/I34*1/F34*$L$12), "")</f>
        <v>12.943934037308214</v>
      </c>
      <c r="M34" s="76">
        <v>101.5</v>
      </c>
      <c r="N34" s="77">
        <f t="shared" ref="N34" si="13">IFERROR((M34*F34/100), "")</f>
        <v>13.499500000000001</v>
      </c>
      <c r="O34" s="43">
        <f t="shared" ref="O34" si="14">IFERROR((L34/M34)*100, "")</f>
        <v>12.752644371732231</v>
      </c>
      <c r="P34" s="43">
        <f>IFERROR((K34/$B$22*$B$12/$C$12*$D$12/$E$12*$F$12/$G$12*$H$12/$J$12*H34/G34*J34/I34*$L$12/100)/N34*F34, "")</f>
        <v>1.696101701440387</v>
      </c>
      <c r="Q34" s="44">
        <f t="shared" ref="Q34" si="15">IFERROR(((M34-O34)/(M34)*100), "")</f>
        <v>87.435818352973172</v>
      </c>
      <c r="R34" s="74">
        <f t="shared" ref="R34" si="16">IFERROR(((N34-P34)/(N34)*F34), "")</f>
        <v>11.628963840945433</v>
      </c>
    </row>
    <row r="35" spans="1:18" ht="28.05" customHeight="1" x14ac:dyDescent="0.3">
      <c r="A35" s="78"/>
      <c r="B35" s="79"/>
      <c r="C35" s="80"/>
      <c r="D35" s="80"/>
      <c r="E35" s="80"/>
      <c r="F35" s="72"/>
      <c r="G35" s="72"/>
      <c r="H35" s="72"/>
      <c r="I35" s="72"/>
      <c r="J35" s="72"/>
      <c r="K35" s="73"/>
      <c r="L35" s="75"/>
      <c r="M35" s="76"/>
      <c r="N35" s="77"/>
      <c r="O35" s="43"/>
      <c r="P35" s="43"/>
      <c r="Q35" s="44"/>
      <c r="R35" s="74"/>
    </row>
    <row r="36" spans="1:18" ht="28.05" customHeight="1" x14ac:dyDescent="0.3">
      <c r="A36" s="78"/>
      <c r="B36" s="79"/>
      <c r="C36" s="80"/>
      <c r="D36" s="80"/>
      <c r="E36" s="80"/>
      <c r="F36" s="72" t="s">
        <v>58</v>
      </c>
      <c r="G36" s="72"/>
      <c r="H36" s="72"/>
      <c r="I36" s="72"/>
      <c r="J36" s="72"/>
      <c r="K36" s="73"/>
      <c r="L36" s="75" t="str">
        <f t="shared" ref="L36" si="17">IFERROR((K36/$B$22*$B$12/$C$12*$D$12/$E$12*$F$12/$G$12*$H$12/$J$12*H36/G36*J36/I36*1/F36*$L$12), "")</f>
        <v/>
      </c>
      <c r="M36" s="76"/>
      <c r="N36" s="77" t="str">
        <f t="shared" ref="N36" si="18">IFERROR((M36*F36/100), "")</f>
        <v/>
      </c>
      <c r="O36" s="43" t="str">
        <f t="shared" ref="O36" si="19">IFERROR((L36/M36)*100, "")</f>
        <v/>
      </c>
      <c r="P36" s="43" t="str">
        <f t="shared" ref="P36" si="20">IFERROR((K36/$B$22*$B$12/$C$12*$D$12/$E$12*$F$12/$G$12*$H$12/$J$12*H36/G36*J36/I36*$L$12/100)/N36*F36, "")</f>
        <v/>
      </c>
      <c r="Q36" s="44" t="str">
        <f t="shared" ref="Q36" si="21">IFERROR(((M36-O36)/(M36)*100), "")</f>
        <v/>
      </c>
      <c r="R36" s="74" t="str">
        <f t="shared" ref="R36" si="22">IFERROR(((N36-P36)/(N36)*F36), "")</f>
        <v/>
      </c>
    </row>
    <row r="37" spans="1:18" ht="28.05" customHeight="1" x14ac:dyDescent="0.3">
      <c r="A37" s="78"/>
      <c r="B37" s="79"/>
      <c r="C37" s="80"/>
      <c r="D37" s="80"/>
      <c r="E37" s="80"/>
      <c r="F37" s="72"/>
      <c r="G37" s="72"/>
      <c r="H37" s="72"/>
      <c r="I37" s="72"/>
      <c r="J37" s="72"/>
      <c r="K37" s="73"/>
      <c r="L37" s="75"/>
      <c r="M37" s="76"/>
      <c r="N37" s="77"/>
      <c r="O37" s="43"/>
      <c r="P37" s="43"/>
      <c r="Q37" s="44"/>
      <c r="R37" s="74"/>
    </row>
    <row r="38" spans="1:18" ht="28.05" customHeight="1" x14ac:dyDescent="0.3">
      <c r="A38" s="78"/>
      <c r="B38" s="79"/>
      <c r="C38" s="80"/>
      <c r="D38" s="80"/>
      <c r="E38" s="80"/>
      <c r="F38" s="72" t="s">
        <v>58</v>
      </c>
      <c r="G38" s="72"/>
      <c r="H38" s="72"/>
      <c r="I38" s="72"/>
      <c r="J38" s="72"/>
      <c r="K38" s="73"/>
      <c r="L38" s="75" t="str">
        <f t="shared" ref="L38" si="23">IFERROR((K38/$B$22*$B$12/$C$12*$D$12/$E$12*$F$12/$G$12*$H$12/$J$12*H38/G38*J38/I38*1/F38*$L$12), "")</f>
        <v/>
      </c>
      <c r="M38" s="76"/>
      <c r="N38" s="77" t="str">
        <f t="shared" ref="N38" si="24">IFERROR((M38*F38/100), "")</f>
        <v/>
      </c>
      <c r="O38" s="43" t="str">
        <f t="shared" ref="O38" si="25">IFERROR((L38/M38)*100, "")</f>
        <v/>
      </c>
      <c r="P38" s="43" t="str">
        <f t="shared" ref="P38" si="26">IFERROR((K38/$B$22*$B$12/$C$12*$D$12/$E$12*$F$12/$G$12*$H$12/$J$12*H38/G38*J38/I38*$L$12/100)/N38*F38, "")</f>
        <v/>
      </c>
      <c r="Q38" s="44" t="str">
        <f t="shared" ref="Q38" si="27">IFERROR(((M38-O38)/(M38)*100), "")</f>
        <v/>
      </c>
      <c r="R38" s="74" t="str">
        <f t="shared" ref="R38" si="28">IFERROR(((N38-P38)/(N38)*F38), "")</f>
        <v/>
      </c>
    </row>
    <row r="39" spans="1:18" ht="28.05" customHeight="1" x14ac:dyDescent="0.3">
      <c r="A39" s="78"/>
      <c r="B39" s="79"/>
      <c r="C39" s="80"/>
      <c r="D39" s="80"/>
      <c r="E39" s="80"/>
      <c r="F39" s="72"/>
      <c r="G39" s="72"/>
      <c r="H39" s="72"/>
      <c r="I39" s="72"/>
      <c r="J39" s="72"/>
      <c r="K39" s="73"/>
      <c r="L39" s="75"/>
      <c r="M39" s="76"/>
      <c r="N39" s="77"/>
      <c r="O39" s="43"/>
      <c r="P39" s="43"/>
      <c r="Q39" s="44"/>
      <c r="R39" s="74"/>
    </row>
    <row r="40" spans="1:18" ht="28.05" customHeight="1" x14ac:dyDescent="0.3">
      <c r="A40" s="78"/>
      <c r="B40" s="79"/>
      <c r="C40" s="80"/>
      <c r="D40" s="80"/>
      <c r="E40" s="80"/>
      <c r="F40" s="72" t="s">
        <v>58</v>
      </c>
      <c r="G40" s="72"/>
      <c r="H40" s="72"/>
      <c r="I40" s="72"/>
      <c r="J40" s="72"/>
      <c r="K40" s="73"/>
      <c r="L40" s="75" t="str">
        <f t="shared" ref="L40" si="29">IFERROR((K40/$B$22*$B$12/$C$12*$D$12/$E$12*$F$12/$G$12*$H$12/$J$12*H40/G40*J40/I40*1/F40*$L$12), "")</f>
        <v/>
      </c>
      <c r="M40" s="76"/>
      <c r="N40" s="77" t="str">
        <f t="shared" ref="N40" si="30">IFERROR((M40*F40/100), "")</f>
        <v/>
      </c>
      <c r="O40" s="43" t="str">
        <f t="shared" ref="O40" si="31">IFERROR((L40/M40)*100, "")</f>
        <v/>
      </c>
      <c r="P40" s="43" t="str">
        <f t="shared" ref="P40" si="32">IFERROR((K40/$B$22*$B$12/$C$12*$D$12/$E$12*$F$12/$G$12*$H$12/$J$12*H40/G40*J40/I40*$L$12/100)/N40*F40, "")</f>
        <v/>
      </c>
      <c r="Q40" s="44" t="str">
        <f t="shared" ref="Q40" si="33">IFERROR(((M40-O40)/(M40)*100), "")</f>
        <v/>
      </c>
      <c r="R40" s="74" t="str">
        <f t="shared" ref="R40" si="34">IFERROR(((N40-P40)/(N40)*F40), "")</f>
        <v/>
      </c>
    </row>
    <row r="41" spans="1:18" ht="28.05" customHeight="1" x14ac:dyDescent="0.3">
      <c r="A41" s="78"/>
      <c r="B41" s="79"/>
      <c r="C41" s="80"/>
      <c r="D41" s="80"/>
      <c r="E41" s="80"/>
      <c r="F41" s="72"/>
      <c r="G41" s="72"/>
      <c r="H41" s="72"/>
      <c r="I41" s="72"/>
      <c r="J41" s="72"/>
      <c r="K41" s="73"/>
      <c r="L41" s="75"/>
      <c r="M41" s="76"/>
      <c r="N41" s="77"/>
      <c r="O41" s="43"/>
      <c r="P41" s="43"/>
      <c r="Q41" s="44"/>
      <c r="R41" s="74"/>
    </row>
    <row r="42" spans="1:18" ht="28.05" customHeight="1" x14ac:dyDescent="0.3">
      <c r="A42" s="78"/>
      <c r="B42" s="79"/>
      <c r="C42" s="80"/>
      <c r="D42" s="80"/>
      <c r="E42" s="80"/>
      <c r="F42" s="72" t="s">
        <v>58</v>
      </c>
      <c r="G42" s="72"/>
      <c r="H42" s="72"/>
      <c r="I42" s="72"/>
      <c r="J42" s="72"/>
      <c r="K42" s="73"/>
      <c r="L42" s="75" t="str">
        <f t="shared" ref="L42" si="35">IFERROR((K42/$B$22*$B$12/$C$12*$D$12/$E$12*$F$12/$G$12*$H$12/$J$12*H42/G42*J42/I42*1/F42*$L$12), "")</f>
        <v/>
      </c>
      <c r="M42" s="76"/>
      <c r="N42" s="77" t="str">
        <f t="shared" ref="N42" si="36">IFERROR((M42*F42/100), "")</f>
        <v/>
      </c>
      <c r="O42" s="43" t="str">
        <f t="shared" ref="O42" si="37">IFERROR((L42/M42)*100, "")</f>
        <v/>
      </c>
      <c r="P42" s="43" t="str">
        <f t="shared" ref="P42" si="38">IFERROR((K42/$B$22*$B$12/$C$12*$D$12/$E$12*$F$12/$G$12*$H$12/$J$12*H42/G42*J42/I42*$L$12/100)/N42*F42, "")</f>
        <v/>
      </c>
      <c r="Q42" s="44" t="str">
        <f t="shared" ref="Q42" si="39">IFERROR(((M42-O42)/(M42)*100), "")</f>
        <v/>
      </c>
      <c r="R42" s="74" t="str">
        <f t="shared" ref="R42" si="40">IFERROR(((N42-P42)/(N42)*F42), "")</f>
        <v/>
      </c>
    </row>
    <row r="43" spans="1:18" ht="28.05" customHeight="1" x14ac:dyDescent="0.3">
      <c r="A43" s="78"/>
      <c r="B43" s="79"/>
      <c r="C43" s="80"/>
      <c r="D43" s="80"/>
      <c r="E43" s="80"/>
      <c r="F43" s="72"/>
      <c r="G43" s="72"/>
      <c r="H43" s="72"/>
      <c r="I43" s="72"/>
      <c r="J43" s="72"/>
      <c r="K43" s="73"/>
      <c r="L43" s="75"/>
      <c r="M43" s="76"/>
      <c r="N43" s="77"/>
      <c r="O43" s="43"/>
      <c r="P43" s="43"/>
      <c r="Q43" s="44"/>
      <c r="R43" s="74"/>
    </row>
    <row r="44" spans="1:18" ht="28.05" customHeight="1" x14ac:dyDescent="0.3">
      <c r="A44" s="78"/>
      <c r="B44" s="79"/>
      <c r="C44" s="80"/>
      <c r="D44" s="80"/>
      <c r="E44" s="80"/>
      <c r="F44" s="72" t="s">
        <v>58</v>
      </c>
      <c r="G44" s="72"/>
      <c r="H44" s="72"/>
      <c r="I44" s="72"/>
      <c r="J44" s="72"/>
      <c r="K44" s="73"/>
      <c r="L44" s="75" t="str">
        <f t="shared" ref="L44" si="41">IFERROR((K44/$B$22*$B$12/$C$12*$D$12/$E$12*$F$12/$G$12*$H$12/$J$12*H44/G44*J44/I44*1/F44*$L$12), "")</f>
        <v/>
      </c>
      <c r="M44" s="76"/>
      <c r="N44" s="77" t="str">
        <f t="shared" ref="N44" si="42">IFERROR((M44*F44/100), "")</f>
        <v/>
      </c>
      <c r="O44" s="43" t="str">
        <f t="shared" ref="O44" si="43">IFERROR((L44/M44)*100, "")</f>
        <v/>
      </c>
      <c r="P44" s="43" t="str">
        <f t="shared" ref="P44" si="44">IFERROR((K44/$B$22*$B$12/$C$12*$D$12/$E$12*$F$12/$G$12*$H$12/$J$12*H44/G44*J44/I44*$L$12/100)/N44*F44, "")</f>
        <v/>
      </c>
      <c r="Q44" s="44" t="str">
        <f t="shared" ref="Q44" si="45">IFERROR(((M44-O44)/(M44)*100), "")</f>
        <v/>
      </c>
      <c r="R44" s="74" t="str">
        <f t="shared" ref="R44" si="46">IFERROR(((N44-P44)/(N44)*F44), "")</f>
        <v/>
      </c>
    </row>
    <row r="45" spans="1:18" ht="28.05" customHeight="1" x14ac:dyDescent="0.3">
      <c r="A45" s="78"/>
      <c r="B45" s="79"/>
      <c r="C45" s="80"/>
      <c r="D45" s="80"/>
      <c r="E45" s="80"/>
      <c r="F45" s="72"/>
      <c r="G45" s="72"/>
      <c r="H45" s="72"/>
      <c r="I45" s="72"/>
      <c r="J45" s="72"/>
      <c r="K45" s="73"/>
      <c r="L45" s="75"/>
      <c r="M45" s="76"/>
      <c r="N45" s="77"/>
      <c r="O45" s="43"/>
      <c r="P45" s="43"/>
      <c r="Q45" s="44"/>
      <c r="R45" s="74"/>
    </row>
    <row r="46" spans="1:18" ht="28.05" customHeight="1" x14ac:dyDescent="0.3">
      <c r="A46" s="78"/>
      <c r="B46" s="79"/>
      <c r="C46" s="80"/>
      <c r="D46" s="80"/>
      <c r="E46" s="80"/>
      <c r="F46" s="72" t="s">
        <v>58</v>
      </c>
      <c r="G46" s="72"/>
      <c r="H46" s="72"/>
      <c r="I46" s="72"/>
      <c r="J46" s="72"/>
      <c r="K46" s="73"/>
      <c r="L46" s="75" t="str">
        <f t="shared" ref="L46" si="47">IFERROR((K46/$B$22*$B$12/$C$12*$D$12/$E$12*$F$12/$G$12*$H$12/$J$12*H46/G46*J46/I46*1/F46*$L$12), "")</f>
        <v/>
      </c>
      <c r="M46" s="76"/>
      <c r="N46" s="77" t="str">
        <f t="shared" ref="N46" si="48">IFERROR((M46*F46/100), "")</f>
        <v/>
      </c>
      <c r="O46" s="43" t="str">
        <f t="shared" ref="O46" si="49">IFERROR((L46/M46)*100, "")</f>
        <v/>
      </c>
      <c r="P46" s="43" t="str">
        <f t="shared" ref="P46" si="50">IFERROR((K46/$B$22*$B$12/$C$12*$D$12/$E$12*$F$12/$G$12*$H$12/$J$12*H46/G46*J46/I46*$L$12/100)/N46*F46, "")</f>
        <v/>
      </c>
      <c r="Q46" s="44" t="str">
        <f t="shared" ref="Q46" si="51">IFERROR(((M46-O46)/(M46)*100), "")</f>
        <v/>
      </c>
      <c r="R46" s="74" t="str">
        <f t="shared" ref="R46" si="52">IFERROR(((N46-P46)/(N46)*F46), "")</f>
        <v/>
      </c>
    </row>
    <row r="47" spans="1:18" ht="28.05" customHeight="1" x14ac:dyDescent="0.3">
      <c r="A47" s="78"/>
      <c r="B47" s="79"/>
      <c r="C47" s="80"/>
      <c r="D47" s="80"/>
      <c r="E47" s="80"/>
      <c r="F47" s="72"/>
      <c r="G47" s="72"/>
      <c r="H47" s="72"/>
      <c r="I47" s="72"/>
      <c r="J47" s="72"/>
      <c r="K47" s="73"/>
      <c r="L47" s="75"/>
      <c r="M47" s="76"/>
      <c r="N47" s="77"/>
      <c r="O47" s="43"/>
      <c r="P47" s="43"/>
      <c r="Q47" s="44"/>
      <c r="R47" s="74"/>
    </row>
    <row r="48" spans="1:18" ht="28.05" customHeight="1" x14ac:dyDescent="0.3">
      <c r="A48" s="78"/>
      <c r="B48" s="79"/>
      <c r="C48" s="80"/>
      <c r="D48" s="80"/>
      <c r="E48" s="80"/>
      <c r="F48" s="72" t="s">
        <v>58</v>
      </c>
      <c r="G48" s="72"/>
      <c r="H48" s="72"/>
      <c r="I48" s="72"/>
      <c r="J48" s="72"/>
      <c r="K48" s="73"/>
      <c r="L48" s="75" t="str">
        <f t="shared" ref="L48" si="53">IFERROR((K48/$B$22*$B$12/$C$12*$D$12/$E$12*$F$12/$G$12*$H$12/$J$12*H48/G48*J48/I48*1/F48*$L$12), "")</f>
        <v/>
      </c>
      <c r="M48" s="76"/>
      <c r="N48" s="77" t="str">
        <f t="shared" ref="N48" si="54">IFERROR((M48*F48/100), "")</f>
        <v/>
      </c>
      <c r="O48" s="43" t="str">
        <f t="shared" ref="O48" si="55">IFERROR((L48/M48)*100, "")</f>
        <v/>
      </c>
      <c r="P48" s="43" t="str">
        <f t="shared" ref="P48" si="56">IFERROR((K48/$B$22*$B$12/$C$12*$D$12/$E$12*$F$12/$G$12*$H$12/$J$12*H48/G48*J48/I48*$L$12/100)/N48*F48, "")</f>
        <v/>
      </c>
      <c r="Q48" s="44" t="str">
        <f t="shared" ref="Q48" si="57">IFERROR(((M48-O48)/(M48)*100), "")</f>
        <v/>
      </c>
      <c r="R48" s="74" t="str">
        <f t="shared" ref="R48" si="58">IFERROR(((N48-P48)/(N48)*F48), "")</f>
        <v/>
      </c>
    </row>
    <row r="49" spans="1:18" ht="28.05" customHeight="1" x14ac:dyDescent="0.3">
      <c r="A49" s="78"/>
      <c r="B49" s="79"/>
      <c r="C49" s="80"/>
      <c r="D49" s="80"/>
      <c r="E49" s="80"/>
      <c r="F49" s="72"/>
      <c r="G49" s="72"/>
      <c r="H49" s="72"/>
      <c r="I49" s="72"/>
      <c r="J49" s="72"/>
      <c r="K49" s="73"/>
      <c r="L49" s="75"/>
      <c r="M49" s="76"/>
      <c r="N49" s="77"/>
      <c r="O49" s="43"/>
      <c r="P49" s="43"/>
      <c r="Q49" s="44"/>
      <c r="R49" s="74"/>
    </row>
    <row r="50" spans="1:18" ht="28.05" customHeight="1" x14ac:dyDescent="0.3">
      <c r="A50" s="78"/>
      <c r="B50" s="79"/>
      <c r="C50" s="80"/>
      <c r="D50" s="80"/>
      <c r="E50" s="80"/>
      <c r="F50" s="72" t="s">
        <v>58</v>
      </c>
      <c r="G50" s="72"/>
      <c r="H50" s="72"/>
      <c r="I50" s="72"/>
      <c r="J50" s="72"/>
      <c r="K50" s="73"/>
      <c r="L50" s="75" t="str">
        <f t="shared" ref="L50" si="59">IFERROR((K50/$B$22*$B$12/$C$12*$D$12/$E$12*$F$12/$G$12*$H$12/$J$12*H50/G50*J50/I50*1/F50*$L$12), "")</f>
        <v/>
      </c>
      <c r="M50" s="76"/>
      <c r="N50" s="77" t="str">
        <f t="shared" ref="N50" si="60">IFERROR((M50*F50/100), "")</f>
        <v/>
      </c>
      <c r="O50" s="43" t="str">
        <f t="shared" ref="O50" si="61">IFERROR((L50/M50)*100, "")</f>
        <v/>
      </c>
      <c r="P50" s="43" t="str">
        <f t="shared" ref="P50" si="62">IFERROR((K50/$B$22*$B$12/$C$12*$D$12/$E$12*$F$12/$G$12*$H$12/$J$12*H50/G50*J50/I50*$L$12/100)/N50*F50, "")</f>
        <v/>
      </c>
      <c r="Q50" s="44" t="str">
        <f t="shared" ref="Q50" si="63">IFERROR(((M50-O50)/(M50)*100), "")</f>
        <v/>
      </c>
      <c r="R50" s="74" t="str">
        <f t="shared" ref="R50" si="64">IFERROR(((N50-P50)/(N50)*F50), "")</f>
        <v/>
      </c>
    </row>
    <row r="51" spans="1:18" ht="28.05" customHeight="1" x14ac:dyDescent="0.3">
      <c r="A51" s="78"/>
      <c r="B51" s="79"/>
      <c r="C51" s="80"/>
      <c r="D51" s="80"/>
      <c r="E51" s="80"/>
      <c r="F51" s="72"/>
      <c r="G51" s="72"/>
      <c r="H51" s="72"/>
      <c r="I51" s="72"/>
      <c r="J51" s="72"/>
      <c r="K51" s="73"/>
      <c r="L51" s="75"/>
      <c r="M51" s="76"/>
      <c r="N51" s="77"/>
      <c r="O51" s="43"/>
      <c r="P51" s="43"/>
      <c r="Q51" s="44"/>
      <c r="R51" s="74"/>
    </row>
    <row r="52" spans="1:18" ht="17.100000000000001" customHeight="1" x14ac:dyDescent="0.3">
      <c r="A52" s="45" t="s">
        <v>10</v>
      </c>
      <c r="B52" s="46"/>
      <c r="C52" s="45"/>
      <c r="D52" s="46"/>
      <c r="E52" s="49"/>
      <c r="F52" s="51"/>
      <c r="G52" s="52"/>
      <c r="H52" s="52"/>
      <c r="I52" s="52"/>
      <c r="J52" s="53"/>
      <c r="K52" s="57" t="s">
        <v>9</v>
      </c>
      <c r="L52" s="58"/>
      <c r="M52" s="59"/>
      <c r="N52" s="66"/>
      <c r="O52" s="67"/>
      <c r="P52" s="67"/>
      <c r="Q52" s="67"/>
      <c r="R52" s="68"/>
    </row>
    <row r="53" spans="1:18" ht="17.100000000000001" customHeight="1" x14ac:dyDescent="0.3">
      <c r="A53" s="45"/>
      <c r="B53" s="46"/>
      <c r="C53" s="45"/>
      <c r="D53" s="46"/>
      <c r="E53" s="49"/>
      <c r="F53" s="51"/>
      <c r="G53" s="52"/>
      <c r="H53" s="52"/>
      <c r="I53" s="52"/>
      <c r="J53" s="53"/>
      <c r="K53" s="60"/>
      <c r="L53" s="61"/>
      <c r="M53" s="62"/>
      <c r="N53" s="66"/>
      <c r="O53" s="67"/>
      <c r="P53" s="67"/>
      <c r="Q53" s="67"/>
      <c r="R53" s="68"/>
    </row>
    <row r="54" spans="1:18" ht="17.100000000000001" customHeight="1" x14ac:dyDescent="0.3">
      <c r="A54" s="45"/>
      <c r="B54" s="46"/>
      <c r="C54" s="45"/>
      <c r="D54" s="46"/>
      <c r="E54" s="49"/>
      <c r="F54" s="51"/>
      <c r="G54" s="52"/>
      <c r="H54" s="52"/>
      <c r="I54" s="52"/>
      <c r="J54" s="53"/>
      <c r="K54" s="60"/>
      <c r="L54" s="61"/>
      <c r="M54" s="62"/>
      <c r="N54" s="66"/>
      <c r="O54" s="67"/>
      <c r="P54" s="67"/>
      <c r="Q54" s="67"/>
      <c r="R54" s="68"/>
    </row>
    <row r="55" spans="1:18" ht="17.100000000000001" customHeight="1" thickBot="1" x14ac:dyDescent="0.35">
      <c r="A55" s="47"/>
      <c r="B55" s="48"/>
      <c r="C55" s="47"/>
      <c r="D55" s="48"/>
      <c r="E55" s="50"/>
      <c r="F55" s="54"/>
      <c r="G55" s="55"/>
      <c r="H55" s="55"/>
      <c r="I55" s="55"/>
      <c r="J55" s="56"/>
      <c r="K55" s="63"/>
      <c r="L55" s="64"/>
      <c r="M55" s="65"/>
      <c r="N55" s="69"/>
      <c r="O55" s="70"/>
      <c r="P55" s="70"/>
      <c r="Q55" s="70"/>
      <c r="R55" s="71"/>
    </row>
    <row r="56" spans="1:18" ht="17.100000000000001" customHeight="1" x14ac:dyDescent="0.3">
      <c r="B56" s="17"/>
      <c r="C56" s="17"/>
      <c r="D56" s="17"/>
      <c r="E56" s="17"/>
      <c r="F56" s="17"/>
      <c r="G56" s="17"/>
      <c r="I56" s="17"/>
      <c r="J56" s="17"/>
      <c r="K56" s="17"/>
      <c r="L56" s="17"/>
    </row>
  </sheetData>
  <mergeCells count="271">
    <mergeCell ref="A1:R1"/>
    <mergeCell ref="A2:R2"/>
    <mergeCell ref="A3:R3"/>
    <mergeCell ref="A4:R4"/>
    <mergeCell ref="B5:J5"/>
    <mergeCell ref="K5:L5"/>
    <mergeCell ref="M5:R5"/>
    <mergeCell ref="B8:J8"/>
    <mergeCell ref="K8:L8"/>
    <mergeCell ref="M8:R8"/>
    <mergeCell ref="A9:R9"/>
    <mergeCell ref="A10:R10"/>
    <mergeCell ref="H11:I11"/>
    <mergeCell ref="J11:K11"/>
    <mergeCell ref="L11:M11"/>
    <mergeCell ref="B6:J6"/>
    <mergeCell ref="K6:L6"/>
    <mergeCell ref="M6:R6"/>
    <mergeCell ref="B7:J7"/>
    <mergeCell ref="K7:L7"/>
    <mergeCell ref="M7:R7"/>
    <mergeCell ref="N11:O11"/>
    <mergeCell ref="H15:I15"/>
    <mergeCell ref="J15:K15"/>
    <mergeCell ref="H16:I16"/>
    <mergeCell ref="J16:K16"/>
    <mergeCell ref="H17:I17"/>
    <mergeCell ref="J17:K17"/>
    <mergeCell ref="H12:I12"/>
    <mergeCell ref="J12:K12"/>
    <mergeCell ref="L12:M12"/>
    <mergeCell ref="A13:R13"/>
    <mergeCell ref="H14:I14"/>
    <mergeCell ref="J14:K14"/>
    <mergeCell ref="N12:O12"/>
    <mergeCell ref="H21:I21"/>
    <mergeCell ref="J21:K21"/>
    <mergeCell ref="H22:I22"/>
    <mergeCell ref="J22:K22"/>
    <mergeCell ref="H23:I23"/>
    <mergeCell ref="J23:K23"/>
    <mergeCell ref="H18:I18"/>
    <mergeCell ref="J18:K18"/>
    <mergeCell ref="H19:I19"/>
    <mergeCell ref="J19:K19"/>
    <mergeCell ref="H20:I20"/>
    <mergeCell ref="J20:K20"/>
    <mergeCell ref="H24:I24"/>
    <mergeCell ref="J24:K24"/>
    <mergeCell ref="A26:R26"/>
    <mergeCell ref="A28:A29"/>
    <mergeCell ref="B28:B29"/>
    <mergeCell ref="C28:C29"/>
    <mergeCell ref="D28:D29"/>
    <mergeCell ref="E28:E29"/>
    <mergeCell ref="F28:F29"/>
    <mergeCell ref="G28:G29"/>
    <mergeCell ref="N28:N29"/>
    <mergeCell ref="O28:O29"/>
    <mergeCell ref="Q28:Q29"/>
    <mergeCell ref="R28:R29"/>
    <mergeCell ref="L28:L29"/>
    <mergeCell ref="M28:M29"/>
    <mergeCell ref="P28:P29"/>
    <mergeCell ref="A30:A31"/>
    <mergeCell ref="B30:B31"/>
    <mergeCell ref="C30:C31"/>
    <mergeCell ref="D30:D31"/>
    <mergeCell ref="E30:E31"/>
    <mergeCell ref="H28:H29"/>
    <mergeCell ref="I28:I29"/>
    <mergeCell ref="J28:J29"/>
    <mergeCell ref="K28:K29"/>
    <mergeCell ref="R30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L30:L31"/>
    <mergeCell ref="M30:M31"/>
    <mergeCell ref="N30:N31"/>
    <mergeCell ref="O30:O31"/>
    <mergeCell ref="F30:F31"/>
    <mergeCell ref="G30:G31"/>
    <mergeCell ref="H30:H31"/>
    <mergeCell ref="I30:I31"/>
    <mergeCell ref="J30:J31"/>
    <mergeCell ref="K30:K31"/>
    <mergeCell ref="O32:O33"/>
    <mergeCell ref="R32:R33"/>
    <mergeCell ref="L32:L33"/>
    <mergeCell ref="M32:M33"/>
    <mergeCell ref="O34:O35"/>
    <mergeCell ref="R34:R35"/>
    <mergeCell ref="A36:A37"/>
    <mergeCell ref="B36:B37"/>
    <mergeCell ref="C36:C37"/>
    <mergeCell ref="D36:D37"/>
    <mergeCell ref="E36:E37"/>
    <mergeCell ref="H34:H35"/>
    <mergeCell ref="I34:I35"/>
    <mergeCell ref="J34:J35"/>
    <mergeCell ref="K34:K35"/>
    <mergeCell ref="L34:L35"/>
    <mergeCell ref="M34:M35"/>
    <mergeCell ref="R36:R37"/>
    <mergeCell ref="L36:L37"/>
    <mergeCell ref="M36:M37"/>
    <mergeCell ref="N36:N37"/>
    <mergeCell ref="O36:O37"/>
    <mergeCell ref="F36:F37"/>
    <mergeCell ref="G36:G37"/>
    <mergeCell ref="H36:H37"/>
    <mergeCell ref="I36:I37"/>
    <mergeCell ref="A34:A35"/>
    <mergeCell ref="B34:B35"/>
    <mergeCell ref="C38:C39"/>
    <mergeCell ref="D38:D39"/>
    <mergeCell ref="E38:E39"/>
    <mergeCell ref="F38:F39"/>
    <mergeCell ref="G38:G39"/>
    <mergeCell ref="H38:H39"/>
    <mergeCell ref="I38:I39"/>
    <mergeCell ref="N32:N33"/>
    <mergeCell ref="N34:N35"/>
    <mergeCell ref="C34:C35"/>
    <mergeCell ref="D34:D35"/>
    <mergeCell ref="E34:E35"/>
    <mergeCell ref="F34:F35"/>
    <mergeCell ref="G34:G35"/>
    <mergeCell ref="J32:J33"/>
    <mergeCell ref="K32:K33"/>
    <mergeCell ref="J36:J37"/>
    <mergeCell ref="K36:K37"/>
    <mergeCell ref="O38:O39"/>
    <mergeCell ref="R38:R39"/>
    <mergeCell ref="A40:A41"/>
    <mergeCell ref="B40:B41"/>
    <mergeCell ref="C40:C41"/>
    <mergeCell ref="D40:D41"/>
    <mergeCell ref="E40:E41"/>
    <mergeCell ref="F40:F41"/>
    <mergeCell ref="G40:G41"/>
    <mergeCell ref="J38:J39"/>
    <mergeCell ref="K38:K39"/>
    <mergeCell ref="L38:L39"/>
    <mergeCell ref="M38:M39"/>
    <mergeCell ref="N38:N39"/>
    <mergeCell ref="N40:N41"/>
    <mergeCell ref="O40:O41"/>
    <mergeCell ref="R40:R41"/>
    <mergeCell ref="L40:L41"/>
    <mergeCell ref="M40:M41"/>
    <mergeCell ref="Q40:Q41"/>
    <mergeCell ref="A38:A39"/>
    <mergeCell ref="B38:B39"/>
    <mergeCell ref="A42:A43"/>
    <mergeCell ref="B42:B43"/>
    <mergeCell ref="C42:C43"/>
    <mergeCell ref="D42:D43"/>
    <mergeCell ref="E42:E43"/>
    <mergeCell ref="H40:H41"/>
    <mergeCell ref="I40:I41"/>
    <mergeCell ref="J40:J41"/>
    <mergeCell ref="K40:K41"/>
    <mergeCell ref="R42:R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L42:L43"/>
    <mergeCell ref="M42:M43"/>
    <mergeCell ref="N42:N43"/>
    <mergeCell ref="O42:O43"/>
    <mergeCell ref="F42:F43"/>
    <mergeCell ref="G42:G43"/>
    <mergeCell ref="H42:H43"/>
    <mergeCell ref="I42:I43"/>
    <mergeCell ref="J42:J43"/>
    <mergeCell ref="K42:K43"/>
    <mergeCell ref="O44:O45"/>
    <mergeCell ref="R44:R45"/>
    <mergeCell ref="L44:L45"/>
    <mergeCell ref="M44:M45"/>
    <mergeCell ref="A46:A47"/>
    <mergeCell ref="B46:B47"/>
    <mergeCell ref="C46:C47"/>
    <mergeCell ref="D46:D47"/>
    <mergeCell ref="E46:E47"/>
    <mergeCell ref="F46:F47"/>
    <mergeCell ref="G46:G47"/>
    <mergeCell ref="J44:J45"/>
    <mergeCell ref="K44:K45"/>
    <mergeCell ref="N44:N45"/>
    <mergeCell ref="N46:N47"/>
    <mergeCell ref="O46:O47"/>
    <mergeCell ref="R46:R47"/>
    <mergeCell ref="A48:A49"/>
    <mergeCell ref="B48:B49"/>
    <mergeCell ref="C48:C49"/>
    <mergeCell ref="D48:D49"/>
    <mergeCell ref="E48:E49"/>
    <mergeCell ref="H46:H47"/>
    <mergeCell ref="I46:I47"/>
    <mergeCell ref="J46:J47"/>
    <mergeCell ref="K46:K47"/>
    <mergeCell ref="L46:L47"/>
    <mergeCell ref="M46:M47"/>
    <mergeCell ref="R48:R49"/>
    <mergeCell ref="L48:L49"/>
    <mergeCell ref="M48:M49"/>
    <mergeCell ref="N48:N49"/>
    <mergeCell ref="O48:O49"/>
    <mergeCell ref="F48:F49"/>
    <mergeCell ref="G48:G49"/>
    <mergeCell ref="H48:H49"/>
    <mergeCell ref="I48:I49"/>
    <mergeCell ref="A52:B55"/>
    <mergeCell ref="C52:E55"/>
    <mergeCell ref="F52:J55"/>
    <mergeCell ref="K52:M55"/>
    <mergeCell ref="N52:R55"/>
    <mergeCell ref="J48:J49"/>
    <mergeCell ref="K48:K49"/>
    <mergeCell ref="O50:O51"/>
    <mergeCell ref="R50:R51"/>
    <mergeCell ref="J50:J51"/>
    <mergeCell ref="K50:K51"/>
    <mergeCell ref="L50:L51"/>
    <mergeCell ref="M50:M51"/>
    <mergeCell ref="N50:N51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Q42:Q43"/>
    <mergeCell ref="Q44:Q45"/>
    <mergeCell ref="Q46:Q47"/>
    <mergeCell ref="Q48:Q49"/>
    <mergeCell ref="Q50:Q51"/>
    <mergeCell ref="Q30:Q31"/>
    <mergeCell ref="Q32:Q33"/>
    <mergeCell ref="Q34:Q35"/>
    <mergeCell ref="Q36:Q37"/>
    <mergeCell ref="Q38:Q39"/>
    <mergeCell ref="P30:P31"/>
    <mergeCell ref="P32:P33"/>
    <mergeCell ref="P34:P35"/>
    <mergeCell ref="P36:P37"/>
    <mergeCell ref="P50:P51"/>
    <mergeCell ref="P38:P39"/>
    <mergeCell ref="P40:P41"/>
    <mergeCell ref="P42:P43"/>
    <mergeCell ref="P44:P45"/>
    <mergeCell ref="P46:P47"/>
    <mergeCell ref="P48:P49"/>
  </mergeCells>
  <pageMargins left="0.19685039370078741" right="0" top="0" bottom="0.23622047244094491" header="0" footer="0"/>
  <pageSetup paperSize="9" scale="34" orientation="landscape" r:id="rId1"/>
  <headerFoot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</vt:lpstr>
      <vt:lpstr>'Sheet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2026-06-24T10:22:44Z</dcterms:modified>
</cp:coreProperties>
</file>