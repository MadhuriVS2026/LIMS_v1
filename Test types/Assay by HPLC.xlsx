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00" windowHeight="9480" tabRatio="647"/>
  </bookViews>
  <sheets>
    <sheet name="1" sheetId="75" r:id="rId1"/>
  </sheets>
  <definedNames>
    <definedName name="_xlnm.Print_Area" localSheetId="0">'1'!$A$1:$R$68</definedName>
  </definedNames>
  <calcPr calcId="162913"/>
</workbook>
</file>

<file path=xl/calcChain.xml><?xml version="1.0" encoding="utf-8"?>
<calcChain xmlns="http://schemas.openxmlformats.org/spreadsheetml/2006/main">
  <c r="P61" i="75" l="1"/>
  <c r="P59" i="75"/>
  <c r="P57" i="75"/>
  <c r="P55" i="75"/>
  <c r="P53" i="75"/>
  <c r="P51" i="75"/>
  <c r="P49" i="75"/>
  <c r="P47" i="75"/>
  <c r="P45" i="75"/>
  <c r="P43" i="75"/>
  <c r="P41" i="75"/>
  <c r="P39" i="75"/>
  <c r="P37" i="75"/>
  <c r="P35" i="75"/>
  <c r="P33" i="75"/>
  <c r="P31" i="75"/>
  <c r="I25" i="75"/>
  <c r="E25" i="75"/>
  <c r="B25" i="75"/>
  <c r="I24" i="75"/>
  <c r="E24" i="75"/>
  <c r="B24" i="75"/>
  <c r="P22" i="75" s="1"/>
  <c r="Q22" i="75"/>
  <c r="P21" i="75"/>
  <c r="P20" i="75"/>
  <c r="P19" i="75"/>
  <c r="P18" i="75"/>
  <c r="P17" i="75"/>
  <c r="M17" i="75"/>
  <c r="P16" i="75"/>
  <c r="B16" i="75"/>
  <c r="E16" i="75" s="1"/>
  <c r="I16" i="75" s="1"/>
  <c r="L14" i="75"/>
  <c r="B7" i="75"/>
  <c r="B26" i="75" l="1"/>
  <c r="Q23" i="75"/>
  <c r="E26" i="75"/>
  <c r="I26" i="75"/>
  <c r="Q33" i="75"/>
  <c r="Q39" i="75"/>
  <c r="Q43" i="75"/>
  <c r="Q49" i="75"/>
  <c r="Q51" i="75"/>
  <c r="Q53" i="75"/>
  <c r="Q55" i="75"/>
  <c r="Q31" i="75"/>
  <c r="Q35" i="75"/>
  <c r="Q41" i="75"/>
  <c r="Q47" i="75"/>
  <c r="Q57" i="75"/>
  <c r="Q59" i="75"/>
  <c r="Q37" i="75"/>
  <c r="Q45" i="75"/>
  <c r="Q61" i="75"/>
  <c r="R59" i="75" l="1"/>
  <c r="R43" i="75"/>
  <c r="R47" i="75"/>
  <c r="R31" i="75"/>
  <c r="R51" i="75"/>
  <c r="R35" i="75"/>
  <c r="R55" i="75"/>
  <c r="R39" i="75"/>
</calcChain>
</file>

<file path=xl/sharedStrings.xml><?xml version="1.0" encoding="utf-8"?>
<sst xmlns="http://schemas.openxmlformats.org/spreadsheetml/2006/main" count="95" uniqueCount="67">
  <si>
    <t>Mean</t>
  </si>
  <si>
    <t>SD</t>
  </si>
  <si>
    <t>% RSD</t>
  </si>
  <si>
    <t>Vol</t>
  </si>
  <si>
    <t>Pip</t>
  </si>
  <si>
    <t>Area</t>
  </si>
  <si>
    <t>Area-1</t>
  </si>
  <si>
    <t>Area-2</t>
  </si>
  <si>
    <t>% Assay</t>
  </si>
  <si>
    <t>TRF No.</t>
  </si>
  <si>
    <t>AR No.</t>
  </si>
  <si>
    <t>Weight in mg</t>
  </si>
  <si>
    <t>Checked By</t>
  </si>
  <si>
    <t>Analyzed By</t>
  </si>
  <si>
    <t>Stability Condition</t>
  </si>
  <si>
    <t>Batch No.</t>
  </si>
  <si>
    <t>Potency</t>
  </si>
  <si>
    <t>Analytical Development</t>
  </si>
  <si>
    <t>Generic Name</t>
  </si>
  <si>
    <t>Product Name</t>
  </si>
  <si>
    <t>Test</t>
  </si>
  <si>
    <t>Analysis as per</t>
  </si>
  <si>
    <t>Analysed By</t>
  </si>
  <si>
    <t>Date of Analysis</t>
  </si>
  <si>
    <t>Standard Details</t>
  </si>
  <si>
    <t>Sample Details</t>
  </si>
  <si>
    <t>Assay Calculation Sheet</t>
  </si>
  <si>
    <t>Emcure</t>
  </si>
  <si>
    <t>STD-1</t>
  </si>
  <si>
    <t>STD-2</t>
  </si>
  <si>
    <t xml:space="preserve"> STD -1</t>
  </si>
  <si>
    <t>Weight</t>
  </si>
  <si>
    <t xml:space="preserve"> STD -2</t>
  </si>
  <si>
    <t>mg</t>
  </si>
  <si>
    <t>Sample
 Weight</t>
  </si>
  <si>
    <t>Packing 
Detail</t>
  </si>
  <si>
    <t>Avg 
Weight</t>
  </si>
  <si>
    <t>STD Co-Relation</t>
  </si>
  <si>
    <t>%Mean Assay</t>
  </si>
  <si>
    <t>BKT STD</t>
  </si>
  <si>
    <t>PPM</t>
  </si>
  <si>
    <t>STD Area</t>
  </si>
  <si>
    <t>BKT STD Area</t>
  </si>
  <si>
    <t>Instrument ID</t>
  </si>
  <si>
    <t>Standard Name</t>
  </si>
  <si>
    <t>L.C.</t>
  </si>
  <si>
    <t>Inj.</t>
  </si>
  <si>
    <t>Avg.  Area</t>
  </si>
  <si>
    <t xml:space="preserve">STD </t>
  </si>
  <si>
    <t>MW - Base</t>
  </si>
  <si>
    <t>MW-Salt</t>
  </si>
  <si>
    <t>Amphotericin B Liposome for injection 50 mg/vial</t>
  </si>
  <si>
    <t>Amphotericin B</t>
  </si>
  <si>
    <t>R &amp; D Ahmedabad</t>
  </si>
  <si>
    <t>QC-DP-MOA-066-06</t>
  </si>
  <si>
    <t>Assay of Amphotericin B (Standard Lot No. R087G0)</t>
  </si>
  <si>
    <t>Glass Vial</t>
  </si>
  <si>
    <t>AD/HPLC/048</t>
  </si>
  <si>
    <t>Initial_1</t>
  </si>
  <si>
    <t>Initial_2</t>
  </si>
  <si>
    <t>Sundaram Patel</t>
  </si>
  <si>
    <t>PTF_142HIN-392A</t>
  </si>
  <si>
    <t>PTF_142HIN-392B</t>
  </si>
  <si>
    <t>TRF-018-26-56</t>
  </si>
  <si>
    <t>AD/045/26/0114</t>
  </si>
  <si>
    <t>TRF-018-26-57</t>
  </si>
  <si>
    <t>AD/045/26/0115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</si>
</sst>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8"/>
      <name val="Arial"/>
      <family val="2"/>
    </font>
    <font>
      <b/>
      <sz val="24"/>
      <color rgb="FFFF0000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  <font>
      <b/>
      <sz val="26"/>
      <color theme="1"/>
      <name val="Arial"/>
      <family val="2"/>
    </font>
    <font>
      <sz val="2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2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Fill="1" applyProtection="1">
      <protection hidden="1"/>
    </xf>
    <xf numFmtId="0" fontId="1" fillId="0" borderId="0" xfId="0" applyFont="1" applyFill="1" applyAlignment="1" applyProtection="1">
      <alignment vertical="center"/>
      <protection hidden="1"/>
    </xf>
    <xf numFmtId="0" fontId="1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vertical="center"/>
      <protection locked="0"/>
    </xf>
    <xf numFmtId="0" fontId="5" fillId="0" borderId="11" xfId="0" applyFont="1" applyFill="1" applyBorder="1" applyAlignment="1" applyProtection="1">
      <alignment vertical="center"/>
      <protection hidden="1"/>
    </xf>
    <xf numFmtId="0" fontId="5" fillId="0" borderId="12" xfId="0" applyFont="1" applyFill="1" applyBorder="1" applyAlignment="1" applyProtection="1">
      <alignment vertical="center"/>
      <protection hidden="1"/>
    </xf>
    <xf numFmtId="0" fontId="1" fillId="0" borderId="33" xfId="0" applyFont="1" applyFill="1" applyBorder="1" applyProtection="1">
      <protection hidden="1"/>
    </xf>
    <xf numFmtId="0" fontId="5" fillId="0" borderId="24" xfId="0" applyFont="1" applyFill="1" applyBorder="1" applyAlignment="1" applyProtection="1">
      <alignment horizontal="center" vertical="center" wrapText="1"/>
      <protection hidden="1"/>
    </xf>
    <xf numFmtId="0" fontId="5" fillId="0" borderId="25" xfId="0" applyFont="1" applyFill="1" applyBorder="1" applyAlignment="1" applyProtection="1">
      <alignment horizontal="center" vertical="center" wrapText="1"/>
      <protection hidden="1"/>
    </xf>
    <xf numFmtId="0" fontId="9" fillId="0" borderId="26" xfId="0" applyFont="1" applyFill="1" applyBorder="1" applyProtection="1">
      <protection hidden="1"/>
    </xf>
    <xf numFmtId="0" fontId="9" fillId="0" borderId="0" xfId="0" applyFont="1" applyFill="1" applyBorder="1" applyProtection="1"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0" fontId="10" fillId="0" borderId="33" xfId="0" applyFont="1" applyFill="1" applyBorder="1" applyProtection="1">
      <protection hidden="1"/>
    </xf>
    <xf numFmtId="0" fontId="10" fillId="0" borderId="0" xfId="0" applyFont="1" applyFill="1" applyProtection="1">
      <protection hidden="1"/>
    </xf>
    <xf numFmtId="0" fontId="11" fillId="0" borderId="33" xfId="0" applyFont="1" applyFill="1" applyBorder="1" applyProtection="1">
      <protection hidden="1"/>
    </xf>
    <xf numFmtId="0" fontId="11" fillId="0" borderId="0" xfId="0" applyFont="1" applyFill="1" applyProtection="1">
      <protection hidden="1"/>
    </xf>
    <xf numFmtId="0" fontId="5" fillId="0" borderId="6" xfId="0" applyFont="1" applyFill="1" applyBorder="1" applyAlignment="1" applyProtection="1">
      <alignment horizontal="center" vertical="center"/>
      <protection hidden="1"/>
    </xf>
    <xf numFmtId="0" fontId="5" fillId="0" borderId="14" xfId="0" applyFont="1" applyFill="1" applyBorder="1" applyAlignment="1" applyProtection="1">
      <alignment horizontal="center"/>
      <protection hidden="1"/>
    </xf>
    <xf numFmtId="0" fontId="11" fillId="0" borderId="0" xfId="0" applyFont="1" applyFill="1" applyBorder="1" applyProtection="1">
      <protection hidden="1"/>
    </xf>
    <xf numFmtId="0" fontId="12" fillId="0" borderId="0" xfId="0" applyFont="1" applyFill="1" applyBorder="1" applyAlignment="1" applyProtection="1">
      <alignment vertical="center"/>
      <protection hidden="1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165" fontId="8" fillId="2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16" xfId="0" applyFont="1" applyFill="1" applyBorder="1" applyAlignment="1" applyProtection="1">
      <alignment horizontal="center" vertical="center"/>
      <protection hidden="1"/>
    </xf>
    <xf numFmtId="0" fontId="12" fillId="0" borderId="26" xfId="0" applyFont="1" applyFill="1" applyBorder="1" applyAlignment="1" applyProtection="1">
      <alignment horizontal="left" wrapText="1"/>
      <protection hidden="1"/>
    </xf>
    <xf numFmtId="0" fontId="12" fillId="0" borderId="0" xfId="0" applyFont="1" applyFill="1" applyBorder="1" applyAlignment="1" applyProtection="1">
      <alignment horizontal="left" wrapText="1"/>
      <protection hidden="1"/>
    </xf>
    <xf numFmtId="0" fontId="12" fillId="0" borderId="0" xfId="0" applyFont="1" applyFill="1" applyBorder="1" applyAlignment="1" applyProtection="1">
      <alignment horizontal="center"/>
      <protection hidden="1"/>
    </xf>
    <xf numFmtId="0" fontId="12" fillId="0" borderId="0" xfId="0" applyFont="1" applyFill="1" applyBorder="1" applyProtection="1"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Protection="1">
      <protection hidden="1"/>
    </xf>
    <xf numFmtId="165" fontId="8" fillId="0" borderId="15" xfId="0" applyNumberFormat="1" applyFont="1" applyBorder="1" applyAlignment="1">
      <alignment horizontal="center" vertical="center"/>
    </xf>
    <xf numFmtId="0" fontId="5" fillId="0" borderId="12" xfId="0" applyFont="1" applyFill="1" applyBorder="1" applyAlignment="1" applyProtection="1">
      <alignment horizontal="center" vertical="center"/>
      <protection hidden="1"/>
    </xf>
    <xf numFmtId="0" fontId="5" fillId="0" borderId="32" xfId="0" applyFont="1" applyFill="1" applyBorder="1" applyAlignment="1" applyProtection="1">
      <alignment horizontal="center" vertical="center"/>
      <protection hidden="1"/>
    </xf>
    <xf numFmtId="165" fontId="8" fillId="3" borderId="16" xfId="0" applyNumberFormat="1" applyFont="1" applyFill="1" applyBorder="1" applyAlignment="1" applyProtection="1">
      <alignment horizontal="center" vertical="center"/>
      <protection locked="0"/>
    </xf>
    <xf numFmtId="0" fontId="5" fillId="0" borderId="9" xfId="0" applyFont="1" applyFill="1" applyBorder="1" applyAlignment="1" applyProtection="1">
      <alignment horizontal="center" vertical="center"/>
      <protection hidden="1"/>
    </xf>
    <xf numFmtId="0" fontId="5" fillId="0" borderId="36" xfId="0" applyFont="1" applyFill="1" applyBorder="1" applyAlignment="1" applyProtection="1">
      <alignment horizontal="center" vertical="center"/>
      <protection hidden="1"/>
    </xf>
    <xf numFmtId="164" fontId="5" fillId="0" borderId="18" xfId="0" applyNumberFormat="1" applyFont="1" applyFill="1" applyBorder="1" applyAlignment="1" applyProtection="1">
      <alignment horizontal="center" vertical="center"/>
      <protection hidden="1"/>
    </xf>
    <xf numFmtId="1" fontId="5" fillId="0" borderId="21" xfId="0" applyNumberFormat="1" applyFont="1" applyFill="1" applyBorder="1" applyAlignment="1" applyProtection="1">
      <alignment horizontal="center" vertical="center"/>
      <protection hidden="1"/>
    </xf>
    <xf numFmtId="2" fontId="8" fillId="0" borderId="33" xfId="0" applyNumberFormat="1" applyFont="1" applyFill="1" applyBorder="1" applyAlignment="1" applyProtection="1">
      <alignment horizontal="center" vertical="center"/>
      <protection hidden="1"/>
    </xf>
    <xf numFmtId="2" fontId="5" fillId="0" borderId="18" xfId="0" applyNumberFormat="1" applyFont="1" applyFill="1" applyBorder="1" applyAlignment="1" applyProtection="1">
      <alignment horizontal="center" vertical="center"/>
      <protection hidden="1"/>
    </xf>
    <xf numFmtId="164" fontId="5" fillId="0" borderId="38" xfId="0" applyNumberFormat="1" applyFont="1" applyFill="1" applyBorder="1" applyAlignment="1" applyProtection="1">
      <alignment horizontal="center" vertical="center"/>
      <protection hidden="1"/>
    </xf>
    <xf numFmtId="0" fontId="8" fillId="0" borderId="26" xfId="0" applyFont="1" applyFill="1" applyBorder="1" applyProtection="1">
      <protection hidden="1"/>
    </xf>
    <xf numFmtId="0" fontId="8" fillId="0" borderId="0" xfId="0" applyFont="1" applyFill="1" applyBorder="1" applyAlignment="1" applyProtection="1">
      <alignment horizontal="center"/>
      <protection hidden="1"/>
    </xf>
    <xf numFmtId="0" fontId="8" fillId="0" borderId="33" xfId="0" applyFont="1" applyFill="1" applyBorder="1" applyProtection="1">
      <protection hidden="1"/>
    </xf>
    <xf numFmtId="0" fontId="11" fillId="0" borderId="26" xfId="0" applyFont="1" applyFill="1" applyBorder="1" applyProtection="1">
      <protection hidden="1"/>
    </xf>
    <xf numFmtId="0" fontId="11" fillId="0" borderId="0" xfId="0" applyFont="1" applyFill="1" applyBorder="1" applyAlignment="1" applyProtection="1">
      <alignment horizontal="center"/>
      <protection hidden="1"/>
    </xf>
    <xf numFmtId="0" fontId="11" fillId="0" borderId="34" xfId="0" applyFont="1" applyFill="1" applyBorder="1" applyAlignment="1" applyProtection="1">
      <alignment horizontal="center"/>
      <protection hidden="1"/>
    </xf>
    <xf numFmtId="0" fontId="11" fillId="0" borderId="34" xfId="0" applyFont="1" applyFill="1" applyBorder="1" applyProtection="1">
      <protection hidden="1"/>
    </xf>
    <xf numFmtId="0" fontId="11" fillId="0" borderId="0" xfId="0" applyFont="1" applyFill="1" applyAlignment="1" applyProtection="1">
      <alignment horizontal="center"/>
      <protection hidden="1"/>
    </xf>
    <xf numFmtId="0" fontId="5" fillId="0" borderId="40" xfId="0" applyFont="1" applyFill="1" applyBorder="1" applyAlignment="1" applyProtection="1">
      <alignment horizontal="center" vertical="center" wrapText="1"/>
      <protection hidden="1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5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locked="0" hidden="1"/>
    </xf>
    <xf numFmtId="0" fontId="5" fillId="0" borderId="15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Fill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Fill="1" applyBorder="1" applyAlignment="1" applyProtection="1">
      <alignment horizontal="left" vertical="center"/>
      <protection hidden="1"/>
    </xf>
    <xf numFmtId="0" fontId="5" fillId="0" borderId="6" xfId="0" applyFont="1" applyFill="1" applyBorder="1" applyAlignment="1" applyProtection="1">
      <alignment horizontal="center" vertical="center" wrapText="1"/>
      <protection hidden="1"/>
    </xf>
    <xf numFmtId="0" fontId="3" fillId="0" borderId="23" xfId="0" applyFont="1" applyFill="1" applyBorder="1" applyAlignment="1" applyProtection="1">
      <alignment horizontal="center" vertical="center"/>
      <protection hidden="1"/>
    </xf>
    <xf numFmtId="0" fontId="3" fillId="0" borderId="24" xfId="0" applyFont="1" applyFill="1" applyBorder="1" applyAlignment="1" applyProtection="1">
      <alignment horizontal="center" vertical="center"/>
      <protection hidden="1"/>
    </xf>
    <xf numFmtId="0" fontId="3" fillId="0" borderId="25" xfId="0" applyFont="1" applyFill="1" applyBorder="1" applyAlignment="1" applyProtection="1">
      <alignment horizontal="center" vertical="center"/>
      <protection hidden="1"/>
    </xf>
    <xf numFmtId="0" fontId="4" fillId="0" borderId="7" xfId="0" applyFont="1" applyFill="1" applyBorder="1" applyAlignment="1" applyProtection="1">
      <alignment horizontal="center" vertical="center"/>
      <protection hidden="1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4" fillId="0" borderId="22" xfId="0" applyFont="1" applyFill="1" applyBorder="1" applyAlignment="1" applyProtection="1">
      <alignment horizontal="center" vertical="center"/>
      <protection hidden="1"/>
    </xf>
    <xf numFmtId="0" fontId="4" fillId="0" borderId="12" xfId="0" applyFont="1" applyFill="1" applyBorder="1" applyAlignment="1" applyProtection="1">
      <alignment horizontal="center" vertical="center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4" fillId="0" borderId="15" xfId="0" applyFont="1" applyFill="1" applyBorder="1" applyAlignment="1" applyProtection="1">
      <alignment horizontal="center" vertical="center"/>
      <protection hidden="1"/>
    </xf>
    <xf numFmtId="0" fontId="4" fillId="0" borderId="13" xfId="0" applyFont="1" applyFill="1" applyBorder="1" applyAlignment="1" applyProtection="1">
      <alignment horizontal="center" vertical="center"/>
      <protection hidden="1"/>
    </xf>
    <xf numFmtId="0" fontId="4" fillId="0" borderId="10" xfId="0" applyFont="1" applyFill="1" applyBorder="1" applyAlignment="1" applyProtection="1">
      <alignment horizontal="center" vertical="center"/>
      <protection hidden="1"/>
    </xf>
    <xf numFmtId="0" fontId="4" fillId="0" borderId="16" xfId="0" applyFont="1" applyFill="1" applyBorder="1" applyAlignment="1" applyProtection="1">
      <alignment horizontal="center" vertical="center"/>
      <protection hidden="1"/>
    </xf>
    <xf numFmtId="0" fontId="6" fillId="2" borderId="6" xfId="0" applyFont="1" applyFill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5" fillId="0" borderId="11" xfId="0" applyFont="1" applyFill="1" applyBorder="1" applyAlignment="1" applyProtection="1">
      <alignment horizontal="left" vertical="center"/>
      <protection hidden="1"/>
    </xf>
    <xf numFmtId="0" fontId="5" fillId="0" borderId="6" xfId="0" applyFont="1" applyFill="1" applyBorder="1" applyAlignment="1" applyProtection="1">
      <alignment horizontal="left" vertical="center"/>
      <protection hidden="1"/>
    </xf>
    <xf numFmtId="0" fontId="6" fillId="2" borderId="14" xfId="0" applyFont="1" applyFill="1" applyBorder="1" applyAlignment="1" applyProtection="1">
      <alignment horizontal="left" vertical="center"/>
      <protection locked="0"/>
    </xf>
    <xf numFmtId="0" fontId="6" fillId="2" borderId="10" xfId="0" applyFont="1" applyFill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hidden="1"/>
    </xf>
    <xf numFmtId="0" fontId="7" fillId="0" borderId="20" xfId="0" applyFont="1" applyFill="1" applyBorder="1" applyAlignment="1" applyProtection="1">
      <alignment horizontal="center" vertical="center"/>
      <protection hidden="1"/>
    </xf>
    <xf numFmtId="0" fontId="7" fillId="0" borderId="21" xfId="0" applyFont="1" applyFill="1" applyBorder="1" applyAlignment="1" applyProtection="1">
      <alignment horizontal="center" vertical="center"/>
      <protection hidden="1"/>
    </xf>
    <xf numFmtId="0" fontId="5" fillId="0" borderId="11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Fill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2" borderId="13" xfId="0" applyFont="1" applyFill="1" applyBorder="1" applyAlignment="1" applyProtection="1">
      <alignment horizontal="center" vertical="center" wrapText="1"/>
      <protection locked="0" hidden="1"/>
    </xf>
    <xf numFmtId="0" fontId="5" fillId="2" borderId="10" xfId="0" applyFont="1" applyFill="1" applyBorder="1" applyAlignment="1" applyProtection="1">
      <alignment horizontal="center" vertical="center" wrapText="1"/>
      <protection locked="0" hidden="1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left" vertical="center"/>
      <protection locked="0"/>
    </xf>
    <xf numFmtId="0" fontId="5" fillId="0" borderId="12" xfId="0" applyFont="1" applyFill="1" applyBorder="1" applyAlignment="1" applyProtection="1">
      <alignment horizontal="left" vertical="center"/>
      <protection hidden="1"/>
    </xf>
    <xf numFmtId="0" fontId="5" fillId="0" borderId="1" xfId="0" applyFont="1" applyFill="1" applyBorder="1" applyAlignment="1" applyProtection="1">
      <alignment horizontal="left" vertical="center"/>
      <protection hidden="1"/>
    </xf>
    <xf numFmtId="0" fontId="5" fillId="0" borderId="13" xfId="0" applyFont="1" applyFill="1" applyBorder="1" applyAlignment="1" applyProtection="1">
      <alignment horizontal="left" vertical="center"/>
      <protection hidden="1"/>
    </xf>
    <xf numFmtId="0" fontId="5" fillId="0" borderId="10" xfId="0" applyFont="1" applyFill="1" applyBorder="1" applyAlignment="1" applyProtection="1">
      <alignment horizontal="left" vertical="center"/>
      <protection hidden="1"/>
    </xf>
    <xf numFmtId="15" fontId="6" fillId="2" borderId="10" xfId="0" quotePrefix="1" applyNumberFormat="1" applyFont="1" applyFill="1" applyBorder="1" applyAlignment="1" applyProtection="1">
      <alignment horizontal="left" vertical="center"/>
      <protection locked="0"/>
    </xf>
    <xf numFmtId="0" fontId="6" fillId="2" borderId="10" xfId="0" quotePrefix="1" applyFont="1" applyFill="1" applyBorder="1" applyAlignment="1" applyProtection="1">
      <alignment horizontal="left" vertical="center"/>
      <protection locked="0"/>
    </xf>
    <xf numFmtId="0" fontId="6" fillId="2" borderId="16" xfId="0" quotePrefix="1" applyFont="1" applyFill="1" applyBorder="1" applyAlignment="1" applyProtection="1">
      <alignment horizontal="left" vertical="center"/>
      <protection locked="0"/>
    </xf>
    <xf numFmtId="0" fontId="5" fillId="0" borderId="5" xfId="0" applyFont="1" applyFill="1" applyBorder="1" applyAlignment="1" applyProtection="1">
      <alignment horizontal="center" vertical="center" wrapText="1"/>
      <protection hidden="1"/>
    </xf>
    <xf numFmtId="0" fontId="5" fillId="0" borderId="7" xfId="0" applyFont="1" applyFill="1" applyBorder="1" applyAlignment="1" applyProtection="1">
      <alignment horizontal="center" vertical="center" wrapText="1"/>
      <protection hidden="1"/>
    </xf>
    <xf numFmtId="0" fontId="5" fillId="2" borderId="6" xfId="0" applyFont="1" applyFill="1" applyBorder="1" applyAlignment="1" applyProtection="1">
      <alignment horizontal="center" vertical="center" wrapText="1"/>
      <protection locked="0" hidden="1"/>
    </xf>
    <xf numFmtId="0" fontId="5" fillId="2" borderId="14" xfId="0" applyFont="1" applyFill="1" applyBorder="1" applyAlignment="1" applyProtection="1">
      <alignment horizontal="center" vertical="center" wrapText="1"/>
      <protection locked="0" hidden="1"/>
    </xf>
    <xf numFmtId="0" fontId="8" fillId="3" borderId="41" xfId="0" applyFont="1" applyFill="1" applyBorder="1" applyAlignment="1" applyProtection="1">
      <alignment horizontal="center" vertical="center"/>
      <protection locked="0"/>
    </xf>
    <xf numFmtId="0" fontId="8" fillId="3" borderId="4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hidden="1"/>
    </xf>
    <xf numFmtId="0" fontId="5" fillId="0" borderId="15" xfId="0" applyFont="1" applyFill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1" fontId="5" fillId="0" borderId="35" xfId="0" applyNumberFormat="1" applyFont="1" applyFill="1" applyBorder="1" applyAlignment="1" applyProtection="1">
      <alignment horizontal="center" vertical="center"/>
      <protection hidden="1"/>
    </xf>
    <xf numFmtId="1" fontId="5" fillId="0" borderId="25" xfId="0" applyNumberFormat="1" applyFont="1" applyFill="1" applyBorder="1" applyAlignment="1" applyProtection="1">
      <alignment horizontal="center" vertical="center"/>
      <protection hidden="1"/>
    </xf>
    <xf numFmtId="2" fontId="8" fillId="0" borderId="23" xfId="0" applyNumberFormat="1" applyFont="1" applyFill="1" applyBorder="1" applyAlignment="1" applyProtection="1">
      <alignment horizontal="center" vertical="center"/>
      <protection hidden="1"/>
    </xf>
    <xf numFmtId="2" fontId="8" fillId="0" borderId="25" xfId="0" applyNumberFormat="1" applyFont="1" applyFill="1" applyBorder="1" applyAlignment="1" applyProtection="1">
      <alignment horizontal="center" vertical="center"/>
      <protection hidden="1"/>
    </xf>
    <xf numFmtId="2" fontId="8" fillId="0" borderId="37" xfId="0" applyNumberFormat="1" applyFont="1" applyFill="1" applyBorder="1" applyAlignment="1" applyProtection="1">
      <alignment horizontal="center" vertical="center"/>
      <protection hidden="1"/>
    </xf>
    <xf numFmtId="2" fontId="8" fillId="0" borderId="8" xfId="0" applyNumberFormat="1" applyFont="1" applyFill="1" applyBorder="1" applyAlignment="1" applyProtection="1">
      <alignment horizontal="center" vertical="center"/>
      <protection hidden="1"/>
    </xf>
    <xf numFmtId="2" fontId="5" fillId="0" borderId="23" xfId="0" applyNumberFormat="1" applyFont="1" applyFill="1" applyBorder="1" applyAlignment="1" applyProtection="1">
      <alignment horizontal="center" vertical="center"/>
      <protection hidden="1"/>
    </xf>
    <xf numFmtId="2" fontId="5" fillId="0" borderId="25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164" fontId="7" fillId="0" borderId="14" xfId="0" applyNumberFormat="1" applyFont="1" applyFill="1" applyBorder="1" applyAlignment="1" applyProtection="1">
      <alignment horizontal="center" vertical="center"/>
      <protection hidden="1"/>
    </xf>
    <xf numFmtId="164" fontId="7" fillId="0" borderId="15" xfId="0" applyNumberFormat="1" applyFont="1" applyFill="1" applyBorder="1" applyAlignment="1" applyProtection="1">
      <alignment horizontal="center" vertical="center"/>
      <protection hidden="1"/>
    </xf>
    <xf numFmtId="164" fontId="7" fillId="0" borderId="16" xfId="0" applyNumberFormat="1" applyFont="1" applyFill="1" applyBorder="1" applyAlignment="1" applyProtection="1">
      <alignment horizontal="center" vertical="center"/>
      <protection hidden="1"/>
    </xf>
    <xf numFmtId="166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66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7" fillId="0" borderId="6" xfId="0" applyNumberFormat="1" applyFont="1" applyFill="1" applyBorder="1" applyAlignment="1" applyProtection="1">
      <alignment horizontal="center" vertical="center"/>
      <protection hidden="1"/>
    </xf>
    <xf numFmtId="2" fontId="7" fillId="0" borderId="3" xfId="0" applyNumberFormat="1" applyFont="1" applyFill="1" applyBorder="1" applyAlignment="1" applyProtection="1">
      <alignment horizontal="center" vertical="center"/>
      <protection hidden="1"/>
    </xf>
    <xf numFmtId="164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0" applyNumberFormat="1" applyFont="1" applyFill="1" applyBorder="1" applyAlignment="1" applyProtection="1">
      <alignment horizontal="center" vertical="center"/>
      <protection hidden="1"/>
    </xf>
    <xf numFmtId="1" fontId="8" fillId="0" borderId="10" xfId="0" applyNumberFormat="1" applyFont="1" applyFill="1" applyBorder="1" applyAlignment="1" applyProtection="1">
      <alignment horizontal="center" vertical="center"/>
      <protection hidden="1"/>
    </xf>
    <xf numFmtId="2" fontId="7" fillId="0" borderId="1" xfId="0" applyNumberFormat="1" applyFont="1" applyFill="1" applyBorder="1" applyAlignment="1" applyProtection="1">
      <alignment horizontal="center" vertical="center"/>
      <protection hidden="1"/>
    </xf>
    <xf numFmtId="2" fontId="7" fillId="0" borderId="10" xfId="0" applyNumberFormat="1" applyFont="1" applyFill="1" applyBorder="1" applyAlignment="1" applyProtection="1">
      <alignment horizontal="center" vertical="center"/>
      <protection hidden="1"/>
    </xf>
    <xf numFmtId="1" fontId="8" fillId="0" borderId="6" xfId="0" applyNumberFormat="1" applyFont="1" applyFill="1" applyBorder="1" applyAlignment="1" applyProtection="1">
      <alignment horizontal="center" vertical="center"/>
      <protection hidden="1"/>
    </xf>
    <xf numFmtId="1" fontId="8" fillId="0" borderId="3" xfId="0" applyNumberFormat="1" applyFont="1" applyFill="1" applyBorder="1" applyAlignment="1" applyProtection="1">
      <alignment horizontal="center" vertical="center"/>
      <protection hidden="1"/>
    </xf>
    <xf numFmtId="1" fontId="8" fillId="0" borderId="4" xfId="0" applyNumberFormat="1" applyFont="1" applyFill="1" applyBorder="1" applyAlignment="1" applyProtection="1">
      <alignment horizontal="center" vertical="center"/>
      <protection hidden="1"/>
    </xf>
    <xf numFmtId="2" fontId="7" fillId="0" borderId="4" xfId="0" applyNumberFormat="1" applyFont="1" applyFill="1" applyBorder="1" applyAlignment="1" applyProtection="1">
      <alignment horizontal="center" vertical="center"/>
      <protection hidden="1"/>
    </xf>
    <xf numFmtId="164" fontId="7" fillId="0" borderId="22" xfId="0" applyNumberFormat="1" applyFont="1" applyFill="1" applyBorder="1" applyAlignment="1" applyProtection="1">
      <alignment horizontal="center" vertical="center"/>
      <protection hidden="1"/>
    </xf>
    <xf numFmtId="164" fontId="7" fillId="0" borderId="17" xfId="0" applyNumberFormat="1" applyFont="1" applyFill="1" applyBorder="1" applyAlignment="1" applyProtection="1">
      <alignment horizontal="center" vertical="center"/>
      <protection hidden="1"/>
    </xf>
    <xf numFmtId="1" fontId="8" fillId="0" borderId="39" xfId="0" applyNumberFormat="1" applyFont="1" applyFill="1" applyBorder="1" applyAlignment="1" applyProtection="1">
      <alignment horizontal="center" vertical="center"/>
      <protection hidden="1"/>
    </xf>
    <xf numFmtId="2" fontId="7" fillId="0" borderId="39" xfId="0" applyNumberFormat="1" applyFont="1" applyFill="1" applyBorder="1" applyAlignment="1" applyProtection="1">
      <alignment horizontal="center" vertical="center"/>
      <protection hidden="1"/>
    </xf>
    <xf numFmtId="1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9" xfId="0" applyFont="1" applyFill="1" applyBorder="1" applyAlignment="1" applyProtection="1">
      <alignment horizontal="left" vertical="top"/>
      <protection hidden="1"/>
    </xf>
    <xf numFmtId="0" fontId="13" fillId="0" borderId="30" xfId="0" applyFont="1" applyFill="1" applyBorder="1" applyAlignment="1" applyProtection="1">
      <alignment horizontal="left" vertical="top"/>
      <protection hidden="1"/>
    </xf>
    <xf numFmtId="0" fontId="13" fillId="0" borderId="31" xfId="0" applyFont="1" applyFill="1" applyBorder="1" applyAlignment="1" applyProtection="1">
      <alignment horizontal="left" vertical="top"/>
      <protection hidden="1"/>
    </xf>
    <xf numFmtId="0" fontId="11" fillId="2" borderId="27" xfId="0" applyFont="1" applyFill="1" applyBorder="1" applyAlignment="1" applyProtection="1">
      <alignment horizontal="left" vertical="top"/>
      <protection locked="0" hidden="1"/>
    </xf>
    <xf numFmtId="0" fontId="11" fillId="2" borderId="6" xfId="0" applyFont="1" applyFill="1" applyBorder="1" applyAlignment="1" applyProtection="1">
      <alignment horizontal="left" vertical="top"/>
      <protection locked="0" hidden="1"/>
    </xf>
    <xf numFmtId="0" fontId="11" fillId="2" borderId="14" xfId="0" applyFont="1" applyFill="1" applyBorder="1" applyAlignment="1" applyProtection="1">
      <alignment horizontal="left" vertical="top"/>
      <protection locked="0" hidden="1"/>
    </xf>
    <xf numFmtId="0" fontId="11" fillId="2" borderId="2" xfId="0" applyFont="1" applyFill="1" applyBorder="1" applyAlignment="1" applyProtection="1">
      <alignment horizontal="left" vertical="top"/>
      <protection locked="0" hidden="1"/>
    </xf>
    <xf numFmtId="0" fontId="11" fillId="2" borderId="1" xfId="0" applyFont="1" applyFill="1" applyBorder="1" applyAlignment="1" applyProtection="1">
      <alignment horizontal="left" vertical="top"/>
      <protection locked="0" hidden="1"/>
    </xf>
    <xf numFmtId="0" fontId="11" fillId="2" borderId="15" xfId="0" applyFont="1" applyFill="1" applyBorder="1" applyAlignment="1" applyProtection="1">
      <alignment horizontal="left" vertical="top"/>
      <protection locked="0" hidden="1"/>
    </xf>
    <xf numFmtId="0" fontId="11" fillId="2" borderId="28" xfId="0" applyFont="1" applyFill="1" applyBorder="1" applyAlignment="1" applyProtection="1">
      <alignment horizontal="left" vertical="top"/>
      <protection locked="0" hidden="1"/>
    </xf>
    <xf numFmtId="0" fontId="11" fillId="2" borderId="10" xfId="0" applyFont="1" applyFill="1" applyBorder="1" applyAlignment="1" applyProtection="1">
      <alignment horizontal="left" vertical="top"/>
      <protection locked="0" hidden="1"/>
    </xf>
    <xf numFmtId="0" fontId="11" fillId="2" borderId="16" xfId="0" applyFont="1" applyFill="1" applyBorder="1" applyAlignment="1" applyProtection="1">
      <alignment horizontal="left" vertical="top"/>
      <protection locked="0" hidden="1"/>
    </xf>
    <xf numFmtId="0" fontId="13" fillId="0" borderId="11" xfId="0" applyFont="1" applyFill="1" applyBorder="1" applyAlignment="1" applyProtection="1">
      <alignment horizontal="left" vertical="top"/>
      <protection hidden="1"/>
    </xf>
    <xf numFmtId="0" fontId="13" fillId="0" borderId="6" xfId="0" applyFont="1" applyFill="1" applyBorder="1" applyAlignment="1" applyProtection="1">
      <alignment horizontal="left" vertical="top"/>
      <protection hidden="1"/>
    </xf>
    <xf numFmtId="0" fontId="13" fillId="0" borderId="14" xfId="0" applyFont="1" applyFill="1" applyBorder="1" applyAlignment="1" applyProtection="1">
      <alignment horizontal="left" vertical="top"/>
      <protection hidden="1"/>
    </xf>
    <xf numFmtId="0" fontId="13" fillId="0" borderId="12" xfId="0" applyFont="1" applyFill="1" applyBorder="1" applyAlignment="1" applyProtection="1">
      <alignment horizontal="left" vertical="top"/>
      <protection hidden="1"/>
    </xf>
    <xf numFmtId="0" fontId="13" fillId="0" borderId="1" xfId="0" applyFont="1" applyFill="1" applyBorder="1" applyAlignment="1" applyProtection="1">
      <alignment horizontal="left" vertical="top"/>
      <protection hidden="1"/>
    </xf>
    <xf numFmtId="0" fontId="13" fillId="0" borderId="15" xfId="0" applyFont="1" applyFill="1" applyBorder="1" applyAlignment="1" applyProtection="1">
      <alignment horizontal="left" vertical="top"/>
      <protection hidden="1"/>
    </xf>
    <xf numFmtId="0" fontId="13" fillId="0" borderId="13" xfId="0" applyFont="1" applyFill="1" applyBorder="1" applyAlignment="1" applyProtection="1">
      <alignment horizontal="left" vertical="top"/>
      <protection hidden="1"/>
    </xf>
    <xf numFmtId="0" fontId="13" fillId="0" borderId="10" xfId="0" applyFont="1" applyFill="1" applyBorder="1" applyAlignment="1" applyProtection="1">
      <alignment horizontal="left" vertical="top"/>
      <protection hidden="1"/>
    </xf>
    <xf numFmtId="0" fontId="13" fillId="0" borderId="16" xfId="0" applyFont="1" applyFill="1" applyBorder="1" applyAlignment="1" applyProtection="1">
      <alignment horizontal="left" vertical="top"/>
      <protection hidden="1"/>
    </xf>
    <xf numFmtId="0" fontId="11" fillId="3" borderId="11" xfId="0" applyFont="1" applyFill="1" applyBorder="1" applyAlignment="1" applyProtection="1">
      <alignment horizontal="center" vertical="top"/>
      <protection hidden="1"/>
    </xf>
    <xf numFmtId="0" fontId="11" fillId="3" borderId="6" xfId="0" applyFont="1" applyFill="1" applyBorder="1" applyAlignment="1" applyProtection="1">
      <alignment horizontal="center" vertical="top"/>
      <protection hidden="1"/>
    </xf>
    <xf numFmtId="0" fontId="11" fillId="3" borderId="14" xfId="0" applyFont="1" applyFill="1" applyBorder="1" applyAlignment="1" applyProtection="1">
      <alignment horizontal="center" vertical="top"/>
      <protection hidden="1"/>
    </xf>
    <xf numFmtId="0" fontId="11" fillId="3" borderId="12" xfId="0" applyFont="1" applyFill="1" applyBorder="1" applyAlignment="1" applyProtection="1">
      <alignment horizontal="center" vertical="top"/>
      <protection hidden="1"/>
    </xf>
    <xf numFmtId="0" fontId="11" fillId="3" borderId="1" xfId="0" applyFont="1" applyFill="1" applyBorder="1" applyAlignment="1" applyProtection="1">
      <alignment horizontal="center" vertical="top"/>
      <protection hidden="1"/>
    </xf>
    <xf numFmtId="0" fontId="11" fillId="3" borderId="15" xfId="0" applyFont="1" applyFill="1" applyBorder="1" applyAlignment="1" applyProtection="1">
      <alignment horizontal="center" vertical="top"/>
      <protection hidden="1"/>
    </xf>
    <xf numFmtId="0" fontId="11" fillId="3" borderId="13" xfId="0" applyFont="1" applyFill="1" applyBorder="1" applyAlignment="1" applyProtection="1">
      <alignment horizontal="center" vertical="top"/>
      <protection hidden="1"/>
    </xf>
    <xf numFmtId="0" fontId="11" fillId="3" borderId="10" xfId="0" applyFont="1" applyFill="1" applyBorder="1" applyAlignment="1" applyProtection="1">
      <alignment horizontal="center" vertical="top"/>
      <protection hidden="1"/>
    </xf>
    <xf numFmtId="0" fontId="11" fillId="3" borderId="16" xfId="0" applyFont="1" applyFill="1" applyBorder="1" applyAlignment="1" applyProtection="1">
      <alignment horizontal="center" vertical="top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DFEC"/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9"/>
  <sheetViews>
    <sheetView tabSelected="1" zoomScale="40" zoomScaleNormal="40" zoomScaleSheetLayoutView="25" workbookViewId="0">
      <selection activeCell="A14" sqref="A14:B14"/>
    </sheetView>
  </sheetViews>
  <sheetFormatPr defaultRowHeight="17.100000000000001" customHeight="1" x14ac:dyDescent="0.2"/>
  <cols>
    <col min="1" max="1" width="42.28515625" style="16" customWidth="1"/>
    <col min="2" max="2" width="50.85546875" style="16" customWidth="1"/>
    <col min="3" max="3" width="34.5703125" style="16" customWidth="1"/>
    <col min="4" max="4" width="33.28515625" style="16" customWidth="1"/>
    <col min="5" max="5" width="37.140625" style="16" customWidth="1"/>
    <col min="6" max="6" width="20.7109375" style="16" customWidth="1"/>
    <col min="7" max="7" width="21.42578125" style="16" customWidth="1"/>
    <col min="8" max="8" width="23.42578125" style="48" customWidth="1"/>
    <col min="9" max="9" width="32.42578125" style="16" customWidth="1"/>
    <col min="10" max="10" width="34.28515625" style="16" customWidth="1"/>
    <col min="11" max="11" width="26.42578125" style="16" customWidth="1"/>
    <col min="12" max="12" width="19.28515625" style="16" customWidth="1"/>
    <col min="13" max="13" width="17.28515625" style="16" customWidth="1"/>
    <col min="14" max="14" width="23.140625" style="16" customWidth="1"/>
    <col min="15" max="15" width="24.42578125" style="16" customWidth="1"/>
    <col min="16" max="16" width="25.28515625" style="16" customWidth="1"/>
    <col min="17" max="17" width="21.140625" style="16" customWidth="1"/>
    <col min="18" max="18" width="22.42578125" style="16" customWidth="1"/>
    <col min="19" max="16384" width="9.140625" style="16"/>
  </cols>
  <sheetData>
    <row r="1" spans="1:18" s="2" customFormat="1" ht="30" customHeight="1" thickBot="1" x14ac:dyDescent="0.3">
      <c r="A1" s="64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/>
    </row>
    <row r="2" spans="1:18" s="2" customFormat="1" ht="30" customHeight="1" x14ac:dyDescent="0.25">
      <c r="A2" s="67" t="s">
        <v>53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s="2" customFormat="1" ht="30" customHeight="1" x14ac:dyDescent="0.25">
      <c r="A3" s="70" t="s">
        <v>17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2"/>
    </row>
    <row r="4" spans="1:18" s="2" customFormat="1" ht="30" customHeight="1" thickBot="1" x14ac:dyDescent="0.3">
      <c r="A4" s="73" t="s">
        <v>26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5"/>
    </row>
    <row r="5" spans="1:18" s="14" customFormat="1" ht="17.100000000000001" customHeight="1" thickBot="1" x14ac:dyDescent="0.3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3"/>
    </row>
    <row r="6" spans="1:18" s="1" customFormat="1" ht="30" customHeight="1" x14ac:dyDescent="0.2">
      <c r="A6" s="5" t="s">
        <v>18</v>
      </c>
      <c r="B6" s="76" t="s">
        <v>51</v>
      </c>
      <c r="C6" s="77"/>
      <c r="D6" s="77"/>
      <c r="E6" s="77"/>
      <c r="F6" s="77"/>
      <c r="G6" s="77"/>
      <c r="H6" s="78"/>
      <c r="I6" s="3"/>
      <c r="J6" s="79" t="s">
        <v>22</v>
      </c>
      <c r="K6" s="80"/>
      <c r="L6" s="76" t="s">
        <v>60</v>
      </c>
      <c r="M6" s="76"/>
      <c r="N6" s="76"/>
      <c r="O6" s="76"/>
      <c r="P6" s="76"/>
      <c r="Q6" s="76"/>
      <c r="R6" s="81"/>
    </row>
    <row r="7" spans="1:18" s="1" customFormat="1" ht="30" customHeight="1" x14ac:dyDescent="0.2">
      <c r="A7" s="6" t="s">
        <v>19</v>
      </c>
      <c r="B7" s="98" t="str">
        <f>B6</f>
        <v>Amphotericin B Liposome for injection 50 mg/vial</v>
      </c>
      <c r="C7" s="99"/>
      <c r="D7" s="99"/>
      <c r="E7" s="99"/>
      <c r="F7" s="99"/>
      <c r="G7" s="99"/>
      <c r="H7" s="100"/>
      <c r="I7" s="3"/>
      <c r="J7" s="101" t="s">
        <v>43</v>
      </c>
      <c r="K7" s="102"/>
      <c r="L7" s="98" t="s">
        <v>57</v>
      </c>
      <c r="M7" s="99"/>
      <c r="N7" s="99"/>
      <c r="O7" s="99"/>
      <c r="P7" s="99"/>
      <c r="Q7" s="99"/>
      <c r="R7" s="100"/>
    </row>
    <row r="8" spans="1:18" s="1" customFormat="1" ht="30" customHeight="1" thickBot="1" x14ac:dyDescent="0.25">
      <c r="A8" s="6" t="s">
        <v>20</v>
      </c>
      <c r="B8" s="98" t="s">
        <v>55</v>
      </c>
      <c r="C8" s="99"/>
      <c r="D8" s="99"/>
      <c r="E8" s="99"/>
      <c r="F8" s="99"/>
      <c r="G8" s="99"/>
      <c r="H8" s="100"/>
      <c r="I8" s="3"/>
      <c r="J8" s="103" t="s">
        <v>23</v>
      </c>
      <c r="K8" s="104"/>
      <c r="L8" s="105">
        <v>46104</v>
      </c>
      <c r="M8" s="106"/>
      <c r="N8" s="106"/>
      <c r="O8" s="106"/>
      <c r="P8" s="106"/>
      <c r="Q8" s="106"/>
      <c r="R8" s="107"/>
    </row>
    <row r="9" spans="1:18" s="1" customFormat="1" ht="30" customHeight="1" thickBot="1" x14ac:dyDescent="0.25">
      <c r="A9" s="62" t="s">
        <v>21</v>
      </c>
      <c r="B9" s="82" t="s">
        <v>54</v>
      </c>
      <c r="C9" s="83"/>
      <c r="D9" s="83"/>
      <c r="E9" s="83"/>
      <c r="F9" s="83"/>
      <c r="G9" s="83"/>
      <c r="H9" s="84"/>
      <c r="I9" s="4"/>
      <c r="J9" s="4"/>
      <c r="K9" s="4"/>
      <c r="L9" s="4"/>
      <c r="M9" s="4"/>
      <c r="N9" s="4"/>
      <c r="O9" s="4"/>
      <c r="P9" s="4"/>
      <c r="Q9" s="4"/>
      <c r="R9" s="7"/>
    </row>
    <row r="10" spans="1:18" ht="24.95" customHeight="1" thickBot="1" x14ac:dyDescent="0.3">
      <c r="A10" s="10"/>
      <c r="B10" s="11"/>
      <c r="C10" s="11"/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2"/>
      <c r="R10" s="15"/>
    </row>
    <row r="11" spans="1:18" ht="30" customHeight="1" thickBot="1" x14ac:dyDescent="0.25">
      <c r="A11" s="85" t="s">
        <v>24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</row>
    <row r="12" spans="1:18" ht="30" customHeight="1" thickBot="1" x14ac:dyDescent="0.3">
      <c r="A12" s="10"/>
      <c r="B12" s="11"/>
      <c r="C12" s="11"/>
      <c r="D12" s="11"/>
      <c r="E12" s="11"/>
      <c r="F12" s="11"/>
      <c r="G12" s="11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5"/>
    </row>
    <row r="13" spans="1:18" ht="62.25" customHeight="1" x14ac:dyDescent="0.4">
      <c r="A13" s="88" t="s">
        <v>44</v>
      </c>
      <c r="B13" s="89"/>
      <c r="C13" s="59" t="s">
        <v>11</v>
      </c>
      <c r="D13" s="59" t="s">
        <v>3</v>
      </c>
      <c r="E13" s="59" t="s">
        <v>4</v>
      </c>
      <c r="F13" s="59" t="s">
        <v>3</v>
      </c>
      <c r="G13" s="59" t="s">
        <v>4</v>
      </c>
      <c r="H13" s="59" t="s">
        <v>3</v>
      </c>
      <c r="I13" s="17" t="s">
        <v>49</v>
      </c>
      <c r="J13" s="17" t="s">
        <v>50</v>
      </c>
      <c r="K13" s="63" t="s">
        <v>16</v>
      </c>
      <c r="L13" s="18" t="s">
        <v>40</v>
      </c>
      <c r="M13" s="19"/>
      <c r="N13" s="20"/>
      <c r="O13" s="90" t="s">
        <v>46</v>
      </c>
      <c r="P13" s="92" t="s">
        <v>5</v>
      </c>
      <c r="Q13" s="92"/>
      <c r="R13" s="93"/>
    </row>
    <row r="14" spans="1:18" ht="43.5" customHeight="1" thickBot="1" x14ac:dyDescent="0.25">
      <c r="A14" s="94" t="s">
        <v>52</v>
      </c>
      <c r="B14" s="95"/>
      <c r="C14" s="21">
        <v>5.0540000000000003</v>
      </c>
      <c r="D14" s="21">
        <v>50</v>
      </c>
      <c r="E14" s="21">
        <v>5</v>
      </c>
      <c r="F14" s="21">
        <v>100</v>
      </c>
      <c r="G14" s="21">
        <v>1</v>
      </c>
      <c r="H14" s="21">
        <v>1</v>
      </c>
      <c r="I14" s="22">
        <v>1</v>
      </c>
      <c r="J14" s="22">
        <v>1</v>
      </c>
      <c r="K14" s="21">
        <v>99.4</v>
      </c>
      <c r="L14" s="23">
        <f>IFERROR((C14/D14*E14/F14*G14/H14*I14/J14*K14/100*1000), "")</f>
        <v>5.023676</v>
      </c>
      <c r="M14" s="19"/>
      <c r="N14" s="20"/>
      <c r="O14" s="91"/>
      <c r="P14" s="96" t="s">
        <v>28</v>
      </c>
      <c r="Q14" s="96" t="s">
        <v>29</v>
      </c>
      <c r="R14" s="97"/>
    </row>
    <row r="15" spans="1:18" ht="23.25" customHeight="1" thickBot="1" x14ac:dyDescent="0.4">
      <c r="A15" s="24"/>
      <c r="B15" s="25"/>
      <c r="C15" s="25"/>
      <c r="D15" s="25"/>
      <c r="E15" s="25"/>
      <c r="F15" s="26"/>
      <c r="G15" s="26"/>
      <c r="H15" s="26"/>
      <c r="I15" s="27"/>
      <c r="J15" s="27"/>
      <c r="K15" s="26"/>
      <c r="L15" s="19"/>
      <c r="M15" s="19"/>
      <c r="N15" s="20"/>
      <c r="O15" s="91"/>
      <c r="P15" s="96"/>
      <c r="Q15" s="96"/>
      <c r="R15" s="97"/>
    </row>
    <row r="16" spans="1:18" ht="32.1" customHeight="1" x14ac:dyDescent="0.4">
      <c r="A16" s="108" t="s">
        <v>48</v>
      </c>
      <c r="B16" s="57" t="str">
        <f>A14</f>
        <v>Amphotericin B</v>
      </c>
      <c r="C16" s="28"/>
      <c r="D16" s="108" t="s">
        <v>39</v>
      </c>
      <c r="E16" s="110" t="str">
        <f>B16</f>
        <v>Amphotericin B</v>
      </c>
      <c r="F16" s="111"/>
      <c r="G16" s="29"/>
      <c r="H16" s="108" t="s">
        <v>39</v>
      </c>
      <c r="I16" s="110" t="str">
        <f>E16</f>
        <v>Amphotericin B</v>
      </c>
      <c r="J16" s="111"/>
      <c r="K16" s="19"/>
      <c r="L16" s="60" t="s">
        <v>31</v>
      </c>
      <c r="M16" s="61" t="s">
        <v>33</v>
      </c>
      <c r="N16" s="20"/>
      <c r="O16" s="53">
        <v>1</v>
      </c>
      <c r="P16" s="55">
        <f>B18</f>
        <v>253287</v>
      </c>
      <c r="Q16" s="112"/>
      <c r="R16" s="113"/>
    </row>
    <row r="17" spans="1:18" ht="32.1" customHeight="1" x14ac:dyDescent="0.4">
      <c r="A17" s="109"/>
      <c r="B17" s="58" t="s">
        <v>41</v>
      </c>
      <c r="C17" s="28"/>
      <c r="D17" s="109"/>
      <c r="E17" s="114" t="s">
        <v>42</v>
      </c>
      <c r="F17" s="115"/>
      <c r="G17" s="29"/>
      <c r="H17" s="109"/>
      <c r="I17" s="114" t="s">
        <v>42</v>
      </c>
      <c r="J17" s="115"/>
      <c r="K17" s="19"/>
      <c r="L17" s="53" t="s">
        <v>30</v>
      </c>
      <c r="M17" s="30">
        <f>C14</f>
        <v>5.0540000000000003</v>
      </c>
      <c r="N17" s="20"/>
      <c r="O17" s="53">
        <v>2</v>
      </c>
      <c r="P17" s="55">
        <f t="shared" ref="P17:P21" si="0">B19</f>
        <v>253024</v>
      </c>
      <c r="Q17" s="112"/>
      <c r="R17" s="113"/>
    </row>
    <row r="18" spans="1:18" ht="32.1" customHeight="1" thickBot="1" x14ac:dyDescent="0.45">
      <c r="A18" s="31">
        <v>1</v>
      </c>
      <c r="B18" s="50">
        <v>253287</v>
      </c>
      <c r="C18" s="28"/>
      <c r="D18" s="32">
        <v>1</v>
      </c>
      <c r="E18" s="116">
        <v>251635</v>
      </c>
      <c r="F18" s="117"/>
      <c r="G18" s="29"/>
      <c r="H18" s="32">
        <v>7</v>
      </c>
      <c r="I18" s="116"/>
      <c r="J18" s="117"/>
      <c r="K18" s="19"/>
      <c r="L18" s="54" t="s">
        <v>32</v>
      </c>
      <c r="M18" s="33"/>
      <c r="N18" s="20"/>
      <c r="O18" s="53">
        <v>3</v>
      </c>
      <c r="P18" s="55">
        <f t="shared" si="0"/>
        <v>252584</v>
      </c>
      <c r="Q18" s="118"/>
      <c r="R18" s="119"/>
    </row>
    <row r="19" spans="1:18" ht="32.1" customHeight="1" x14ac:dyDescent="0.4">
      <c r="A19" s="31">
        <v>2</v>
      </c>
      <c r="B19" s="50">
        <v>253024</v>
      </c>
      <c r="C19" s="28"/>
      <c r="D19" s="32">
        <v>2</v>
      </c>
      <c r="E19" s="116">
        <v>251658</v>
      </c>
      <c r="F19" s="117"/>
      <c r="G19" s="29"/>
      <c r="H19" s="32">
        <v>8</v>
      </c>
      <c r="I19" s="116"/>
      <c r="J19" s="117"/>
      <c r="K19" s="19"/>
      <c r="L19" s="19"/>
      <c r="M19" s="19"/>
      <c r="N19" s="20"/>
      <c r="O19" s="53">
        <v>4</v>
      </c>
      <c r="P19" s="55">
        <f t="shared" si="0"/>
        <v>252811</v>
      </c>
      <c r="Q19" s="118"/>
      <c r="R19" s="119"/>
    </row>
    <row r="20" spans="1:18" ht="32.1" customHeight="1" x14ac:dyDescent="0.4">
      <c r="A20" s="31">
        <v>3</v>
      </c>
      <c r="B20" s="50">
        <v>252584</v>
      </c>
      <c r="C20" s="28"/>
      <c r="D20" s="32">
        <v>3</v>
      </c>
      <c r="E20" s="116"/>
      <c r="F20" s="117"/>
      <c r="G20" s="29"/>
      <c r="H20" s="32">
        <v>9</v>
      </c>
      <c r="I20" s="116"/>
      <c r="J20" s="117"/>
      <c r="K20" s="19"/>
      <c r="L20" s="20"/>
      <c r="M20" s="20"/>
      <c r="N20" s="20"/>
      <c r="O20" s="53">
        <v>5</v>
      </c>
      <c r="P20" s="55">
        <f t="shared" si="0"/>
        <v>251367</v>
      </c>
      <c r="Q20" s="118"/>
      <c r="R20" s="119"/>
    </row>
    <row r="21" spans="1:18" ht="32.1" customHeight="1" x14ac:dyDescent="0.4">
      <c r="A21" s="31">
        <v>4</v>
      </c>
      <c r="B21" s="50">
        <v>252811</v>
      </c>
      <c r="C21" s="28"/>
      <c r="D21" s="32">
        <v>4</v>
      </c>
      <c r="E21" s="116"/>
      <c r="F21" s="117"/>
      <c r="G21" s="29"/>
      <c r="H21" s="32">
        <v>10</v>
      </c>
      <c r="I21" s="116"/>
      <c r="J21" s="117"/>
      <c r="K21" s="19"/>
      <c r="L21" s="20"/>
      <c r="M21" s="20"/>
      <c r="N21" s="20"/>
      <c r="O21" s="53">
        <v>6</v>
      </c>
      <c r="P21" s="55">
        <f t="shared" si="0"/>
        <v>0</v>
      </c>
      <c r="Q21" s="118"/>
      <c r="R21" s="119"/>
    </row>
    <row r="22" spans="1:18" ht="32.1" customHeight="1" x14ac:dyDescent="0.4">
      <c r="A22" s="31">
        <v>5</v>
      </c>
      <c r="B22" s="50">
        <v>251367</v>
      </c>
      <c r="C22" s="28"/>
      <c r="D22" s="32">
        <v>5</v>
      </c>
      <c r="E22" s="116"/>
      <c r="F22" s="117"/>
      <c r="G22" s="29"/>
      <c r="H22" s="32">
        <v>11</v>
      </c>
      <c r="I22" s="116"/>
      <c r="J22" s="117"/>
      <c r="K22" s="19"/>
      <c r="L22" s="20"/>
      <c r="M22" s="20"/>
      <c r="N22" s="20"/>
      <c r="O22" s="53" t="s">
        <v>0</v>
      </c>
      <c r="P22" s="51">
        <f>B24</f>
        <v>252614.6</v>
      </c>
      <c r="Q22" s="120" t="str">
        <f>IFERROR((AVERAGE(Q16:Q17)), "")</f>
        <v/>
      </c>
      <c r="R22" s="121"/>
    </row>
    <row r="23" spans="1:18" ht="32.1" customHeight="1" thickBot="1" x14ac:dyDescent="0.45">
      <c r="A23" s="34">
        <v>6</v>
      </c>
      <c r="B23" s="52"/>
      <c r="C23" s="28"/>
      <c r="D23" s="35">
        <v>6</v>
      </c>
      <c r="E23" s="122"/>
      <c r="F23" s="123"/>
      <c r="G23" s="29"/>
      <c r="H23" s="35">
        <v>12</v>
      </c>
      <c r="I23" s="122">
        <v>260938</v>
      </c>
      <c r="J23" s="123"/>
      <c r="K23" s="19"/>
      <c r="L23" s="20"/>
      <c r="M23" s="20"/>
      <c r="N23" s="20"/>
      <c r="O23" s="91" t="s">
        <v>37</v>
      </c>
      <c r="P23" s="96"/>
      <c r="Q23" s="126" t="e">
        <f>IFERROR((TRUNC((P22/Q22*M18/M17),3)), "")*100</f>
        <v>#VALUE!</v>
      </c>
      <c r="R23" s="127"/>
    </row>
    <row r="24" spans="1:18" ht="32.1" customHeight="1" thickBot="1" x14ac:dyDescent="0.45">
      <c r="A24" s="36" t="s">
        <v>0</v>
      </c>
      <c r="B24" s="37">
        <f>IFERROR((AVERAGE(B18:B23)), "")</f>
        <v>252614.6</v>
      </c>
      <c r="C24" s="28"/>
      <c r="D24" s="36" t="s">
        <v>0</v>
      </c>
      <c r="E24" s="130">
        <f>IFERROR((AVERAGE(E18:E23,B18:B23)), "")</f>
        <v>252338</v>
      </c>
      <c r="F24" s="131"/>
      <c r="G24" s="29"/>
      <c r="H24" s="36" t="s">
        <v>0</v>
      </c>
      <c r="I24" s="130">
        <f>IFERROR((AVERAGE(B18:B23,I18:I23,E18:E23)), "")</f>
        <v>253413</v>
      </c>
      <c r="J24" s="131"/>
      <c r="K24" s="19"/>
      <c r="L24" s="20"/>
      <c r="M24" s="20"/>
      <c r="N24" s="20"/>
      <c r="O24" s="124"/>
      <c r="P24" s="125"/>
      <c r="Q24" s="128"/>
      <c r="R24" s="129"/>
    </row>
    <row r="25" spans="1:18" ht="32.1" customHeight="1" thickBot="1" x14ac:dyDescent="0.45">
      <c r="A25" s="36" t="s">
        <v>1</v>
      </c>
      <c r="B25" s="38">
        <f>IFERROR((STDEV(B18:B23)), "")</f>
        <v>744.26897019827447</v>
      </c>
      <c r="C25" s="28"/>
      <c r="D25" s="36" t="s">
        <v>1</v>
      </c>
      <c r="E25" s="132">
        <f>IFERROR((STDEV(B18:B23,E18:E23)), "")</f>
        <v>769.72852357178499</v>
      </c>
      <c r="F25" s="133"/>
      <c r="G25" s="29"/>
      <c r="H25" s="36" t="s">
        <v>1</v>
      </c>
      <c r="I25" s="134">
        <f>IFERROR((STDEV(B18:B23,E18:E23,I18:I23)), "")</f>
        <v>3122.9540045101071</v>
      </c>
      <c r="J25" s="135"/>
      <c r="K25" s="19"/>
      <c r="L25" s="27"/>
      <c r="M25" s="27"/>
      <c r="N25" s="27"/>
      <c r="O25" s="27"/>
      <c r="P25" s="27"/>
      <c r="Q25" s="27"/>
      <c r="R25" s="15"/>
    </row>
    <row r="26" spans="1:18" ht="32.1" customHeight="1" thickBot="1" x14ac:dyDescent="0.45">
      <c r="A26" s="36" t="s">
        <v>2</v>
      </c>
      <c r="B26" s="39">
        <f>IFERROR((B25*100/B24), "")</f>
        <v>0.29462626871062658</v>
      </c>
      <c r="C26" s="28"/>
      <c r="D26" s="36" t="s">
        <v>2</v>
      </c>
      <c r="E26" s="136">
        <f>IFERROR((E25*100/E24), "")</f>
        <v>0.30503868762207242</v>
      </c>
      <c r="F26" s="137"/>
      <c r="G26" s="29"/>
      <c r="H26" s="40" t="s">
        <v>2</v>
      </c>
      <c r="I26" s="136">
        <f>IFERROR((I25*100/I24), "")</f>
        <v>1.2323574577902898</v>
      </c>
      <c r="J26" s="137"/>
      <c r="K26" s="19"/>
      <c r="L26" s="27"/>
      <c r="M26" s="27"/>
      <c r="N26" s="27"/>
      <c r="O26" s="27"/>
      <c r="P26" s="27"/>
      <c r="Q26" s="27"/>
      <c r="R26" s="15"/>
    </row>
    <row r="27" spans="1:18" ht="26.25" customHeight="1" thickBot="1" x14ac:dyDescent="0.3">
      <c r="A27" s="10"/>
      <c r="B27" s="11"/>
      <c r="C27" s="11"/>
      <c r="D27" s="11"/>
      <c r="E27" s="11"/>
      <c r="F27" s="12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5"/>
    </row>
    <row r="28" spans="1:18" ht="30" customHeight="1" thickBot="1" x14ac:dyDescent="0.25">
      <c r="A28" s="85" t="s">
        <v>25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7"/>
    </row>
    <row r="29" spans="1:18" ht="17.100000000000001" customHeight="1" thickBot="1" x14ac:dyDescent="0.45">
      <c r="A29" s="41"/>
      <c r="B29" s="29"/>
      <c r="C29" s="29"/>
      <c r="D29" s="29"/>
      <c r="E29" s="29"/>
      <c r="F29" s="42"/>
      <c r="G29" s="4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43"/>
    </row>
    <row r="30" spans="1:18" ht="72.75" customHeight="1" thickBot="1" x14ac:dyDescent="0.25">
      <c r="A30" s="56" t="s">
        <v>15</v>
      </c>
      <c r="B30" s="49" t="s">
        <v>14</v>
      </c>
      <c r="C30" s="49" t="s">
        <v>35</v>
      </c>
      <c r="D30" s="49" t="s">
        <v>9</v>
      </c>
      <c r="E30" s="49" t="s">
        <v>10</v>
      </c>
      <c r="F30" s="49" t="s">
        <v>36</v>
      </c>
      <c r="G30" s="49" t="s">
        <v>45</v>
      </c>
      <c r="H30" s="49" t="s">
        <v>34</v>
      </c>
      <c r="I30" s="49" t="s">
        <v>3</v>
      </c>
      <c r="J30" s="49" t="s">
        <v>4</v>
      </c>
      <c r="K30" s="49" t="s">
        <v>3</v>
      </c>
      <c r="L30" s="49" t="s">
        <v>4</v>
      </c>
      <c r="M30" s="49" t="s">
        <v>3</v>
      </c>
      <c r="N30" s="8" t="s">
        <v>6</v>
      </c>
      <c r="O30" s="8" t="s">
        <v>7</v>
      </c>
      <c r="P30" s="8" t="s">
        <v>47</v>
      </c>
      <c r="Q30" s="8" t="s">
        <v>8</v>
      </c>
      <c r="R30" s="9" t="s">
        <v>38</v>
      </c>
    </row>
    <row r="31" spans="1:18" ht="30" customHeight="1" x14ac:dyDescent="0.2">
      <c r="A31" s="138" t="s">
        <v>61</v>
      </c>
      <c r="B31" s="138" t="s">
        <v>58</v>
      </c>
      <c r="C31" s="138" t="s">
        <v>56</v>
      </c>
      <c r="D31" s="139" t="s">
        <v>63</v>
      </c>
      <c r="E31" s="139" t="s">
        <v>64</v>
      </c>
      <c r="F31" s="144">
        <v>1</v>
      </c>
      <c r="G31" s="146">
        <v>50</v>
      </c>
      <c r="H31" s="144">
        <v>1</v>
      </c>
      <c r="I31" s="148">
        <v>500</v>
      </c>
      <c r="J31" s="152">
        <v>5</v>
      </c>
      <c r="K31" s="148">
        <v>100</v>
      </c>
      <c r="L31" s="148">
        <v>1</v>
      </c>
      <c r="M31" s="148">
        <v>1</v>
      </c>
      <c r="N31" s="148">
        <v>273537</v>
      </c>
      <c r="O31" s="148"/>
      <c r="P31" s="158">
        <f>IFERROR((AVERAGE(N31:O32)), "")</f>
        <v>273537</v>
      </c>
      <c r="Q31" s="150">
        <f>IFERROR((P31/$B$24*$C$14/$D$14*$E$14/$F$14*$G$14/$H$14*K31/J31*M31/L31*I31/H31*F31/G31*$K$14*$I$14/$J$14), "")</f>
        <v>108.79507851185163</v>
      </c>
      <c r="R31" s="141">
        <f>IFERROR((AVERAGE(Q31:Q34)), "")</f>
        <v>108.83843156302129</v>
      </c>
    </row>
    <row r="32" spans="1:18" ht="30" customHeight="1" x14ac:dyDescent="0.2">
      <c r="A32" s="138"/>
      <c r="B32" s="138"/>
      <c r="C32" s="138"/>
      <c r="D32" s="140"/>
      <c r="E32" s="140"/>
      <c r="F32" s="145"/>
      <c r="G32" s="147"/>
      <c r="H32" s="145"/>
      <c r="I32" s="149"/>
      <c r="J32" s="153"/>
      <c r="K32" s="149"/>
      <c r="L32" s="149"/>
      <c r="M32" s="149"/>
      <c r="N32" s="149"/>
      <c r="O32" s="149"/>
      <c r="P32" s="159"/>
      <c r="Q32" s="151"/>
      <c r="R32" s="142"/>
    </row>
    <row r="33" spans="1:18" ht="30" customHeight="1" x14ac:dyDescent="0.2">
      <c r="A33" s="138" t="s">
        <v>61</v>
      </c>
      <c r="B33" s="138" t="s">
        <v>59</v>
      </c>
      <c r="C33" s="138" t="s">
        <v>56</v>
      </c>
      <c r="D33" s="139" t="s">
        <v>63</v>
      </c>
      <c r="E33" s="139" t="s">
        <v>64</v>
      </c>
      <c r="F33" s="144">
        <v>1</v>
      </c>
      <c r="G33" s="146">
        <v>50</v>
      </c>
      <c r="H33" s="144">
        <v>1</v>
      </c>
      <c r="I33" s="148">
        <v>500</v>
      </c>
      <c r="J33" s="152">
        <v>5</v>
      </c>
      <c r="K33" s="148">
        <v>100</v>
      </c>
      <c r="L33" s="148">
        <v>1</v>
      </c>
      <c r="M33" s="148">
        <v>1</v>
      </c>
      <c r="N33" s="148">
        <v>273755</v>
      </c>
      <c r="O33" s="148"/>
      <c r="P33" s="154">
        <f t="shared" ref="P33" si="1">IFERROR((AVERAGE(N33:O34)), "")</f>
        <v>273755</v>
      </c>
      <c r="Q33" s="156">
        <f>IFERROR((P33/$B$24*$C$14/$D$14*$E$14/$F$14*$G$14/$H$14*K33/J33*M33/L33*I33/H33*F33/G33*$K$14*$I$14/$J$14), "")</f>
        <v>108.88178461419093</v>
      </c>
      <c r="R33" s="142"/>
    </row>
    <row r="34" spans="1:18" ht="30" customHeight="1" thickBot="1" x14ac:dyDescent="0.25">
      <c r="A34" s="138"/>
      <c r="B34" s="138"/>
      <c r="C34" s="138"/>
      <c r="D34" s="140"/>
      <c r="E34" s="140"/>
      <c r="F34" s="145"/>
      <c r="G34" s="147"/>
      <c r="H34" s="145"/>
      <c r="I34" s="149"/>
      <c r="J34" s="153"/>
      <c r="K34" s="149"/>
      <c r="L34" s="149"/>
      <c r="M34" s="149"/>
      <c r="N34" s="149"/>
      <c r="O34" s="149"/>
      <c r="P34" s="155"/>
      <c r="Q34" s="157"/>
      <c r="R34" s="143"/>
    </row>
    <row r="35" spans="1:18" ht="30" customHeight="1" x14ac:dyDescent="0.2">
      <c r="A35" s="138" t="s">
        <v>62</v>
      </c>
      <c r="B35" s="138" t="s">
        <v>58</v>
      </c>
      <c r="C35" s="138" t="s">
        <v>56</v>
      </c>
      <c r="D35" s="139" t="s">
        <v>65</v>
      </c>
      <c r="E35" s="139" t="s">
        <v>66</v>
      </c>
      <c r="F35" s="144">
        <v>1</v>
      </c>
      <c r="G35" s="146">
        <v>50</v>
      </c>
      <c r="H35" s="144">
        <v>1</v>
      </c>
      <c r="I35" s="148">
        <v>500</v>
      </c>
      <c r="J35" s="152">
        <v>5</v>
      </c>
      <c r="K35" s="148">
        <v>100</v>
      </c>
      <c r="L35" s="148">
        <v>1</v>
      </c>
      <c r="M35" s="148">
        <v>1</v>
      </c>
      <c r="N35" s="148">
        <v>257284</v>
      </c>
      <c r="O35" s="148"/>
      <c r="P35" s="160">
        <f t="shared" ref="P35" si="2">IFERROR((AVERAGE(N35:O36)), "")</f>
        <v>257284</v>
      </c>
      <c r="Q35" s="161">
        <f>IFERROR((P35/$B$24*$C$14/$D$14*$E$14/$F$14*$G$14/$H$14*K35/J35*M35/L35*I35/H35*F35/G35*$K$14*$I$14/$J$14), "")</f>
        <v>102.33070107460139</v>
      </c>
      <c r="R35" s="162">
        <f>IFERROR((AVERAGE(Q35:Q38)), "")</f>
        <v>102.47527753423594</v>
      </c>
    </row>
    <row r="36" spans="1:18" ht="30" customHeight="1" x14ac:dyDescent="0.2">
      <c r="A36" s="138"/>
      <c r="B36" s="138"/>
      <c r="C36" s="138"/>
      <c r="D36" s="140"/>
      <c r="E36" s="140"/>
      <c r="F36" s="145"/>
      <c r="G36" s="147"/>
      <c r="H36" s="145"/>
      <c r="I36" s="149"/>
      <c r="J36" s="153"/>
      <c r="K36" s="149"/>
      <c r="L36" s="149"/>
      <c r="M36" s="149"/>
      <c r="N36" s="149"/>
      <c r="O36" s="149"/>
      <c r="P36" s="154"/>
      <c r="Q36" s="156"/>
      <c r="R36" s="142"/>
    </row>
    <row r="37" spans="1:18" ht="30" customHeight="1" x14ac:dyDescent="0.2">
      <c r="A37" s="138" t="s">
        <v>62</v>
      </c>
      <c r="B37" s="138" t="s">
        <v>59</v>
      </c>
      <c r="C37" s="138" t="s">
        <v>56</v>
      </c>
      <c r="D37" s="139" t="s">
        <v>65</v>
      </c>
      <c r="E37" s="139" t="s">
        <v>66</v>
      </c>
      <c r="F37" s="144">
        <v>1</v>
      </c>
      <c r="G37" s="146">
        <v>50</v>
      </c>
      <c r="H37" s="144">
        <v>1</v>
      </c>
      <c r="I37" s="148">
        <v>500</v>
      </c>
      <c r="J37" s="152">
        <v>5</v>
      </c>
      <c r="K37" s="148">
        <v>100</v>
      </c>
      <c r="L37" s="148">
        <v>1</v>
      </c>
      <c r="M37" s="148">
        <v>1</v>
      </c>
      <c r="N37" s="148">
        <v>258011</v>
      </c>
      <c r="O37" s="148"/>
      <c r="P37" s="154">
        <f t="shared" ref="P37" si="3">IFERROR((AVERAGE(N37:O38)), "")</f>
        <v>258011</v>
      </c>
      <c r="Q37" s="156">
        <f>IFERROR((P37/$B$24*$C$14/$D$14*$E$14/$F$14*$G$14/$H$14*K37/J37*M37/L37*I37/H37*F37/G37*$K$14*$I$14/$J$14), "")</f>
        <v>102.61985399387051</v>
      </c>
      <c r="R37" s="142"/>
    </row>
    <row r="38" spans="1:18" ht="30" customHeight="1" thickBot="1" x14ac:dyDescent="0.25">
      <c r="A38" s="138"/>
      <c r="B38" s="138"/>
      <c r="C38" s="138"/>
      <c r="D38" s="140"/>
      <c r="E38" s="140"/>
      <c r="F38" s="145"/>
      <c r="G38" s="147"/>
      <c r="H38" s="145"/>
      <c r="I38" s="149"/>
      <c r="J38" s="153"/>
      <c r="K38" s="149"/>
      <c r="L38" s="149"/>
      <c r="M38" s="149"/>
      <c r="N38" s="149"/>
      <c r="O38" s="149"/>
      <c r="P38" s="159"/>
      <c r="Q38" s="151"/>
      <c r="R38" s="163"/>
    </row>
    <row r="39" spans="1:18" ht="30" customHeight="1" x14ac:dyDescent="0.2">
      <c r="A39" s="138"/>
      <c r="B39" s="138"/>
      <c r="C39" s="138"/>
      <c r="D39" s="139"/>
      <c r="E39" s="139"/>
      <c r="F39" s="144"/>
      <c r="G39" s="146"/>
      <c r="H39" s="144"/>
      <c r="I39" s="148"/>
      <c r="J39" s="152"/>
      <c r="K39" s="148"/>
      <c r="L39" s="148"/>
      <c r="M39" s="148"/>
      <c r="N39" s="148"/>
      <c r="O39" s="148"/>
      <c r="P39" s="158" t="str">
        <f t="shared" ref="P39" si="4">IFERROR((AVERAGE(N39:O40)), "")</f>
        <v/>
      </c>
      <c r="Q39" s="150" t="str">
        <f>IFERROR((P39/$B$24*$C$14/$D$14*$E$14/$F$14*$G$14/$H$14*K39/J39*M39/L39*I39/H39*F39/G39*$K$14*$I$14/$J$14), "")</f>
        <v/>
      </c>
      <c r="R39" s="141" t="str">
        <f>IFERROR((AVERAGE(Q39:Q42)), "")</f>
        <v/>
      </c>
    </row>
    <row r="40" spans="1:18" ht="30" customHeight="1" x14ac:dyDescent="0.2">
      <c r="A40" s="138"/>
      <c r="B40" s="138"/>
      <c r="C40" s="138"/>
      <c r="D40" s="140"/>
      <c r="E40" s="140"/>
      <c r="F40" s="145"/>
      <c r="G40" s="147"/>
      <c r="H40" s="145"/>
      <c r="I40" s="149"/>
      <c r="J40" s="153"/>
      <c r="K40" s="149"/>
      <c r="L40" s="149"/>
      <c r="M40" s="149"/>
      <c r="N40" s="149"/>
      <c r="O40" s="149"/>
      <c r="P40" s="154"/>
      <c r="Q40" s="156"/>
      <c r="R40" s="142"/>
    </row>
    <row r="41" spans="1:18" ht="30" customHeight="1" x14ac:dyDescent="0.2">
      <c r="A41" s="138"/>
      <c r="B41" s="138"/>
      <c r="C41" s="138"/>
      <c r="D41" s="139"/>
      <c r="E41" s="139"/>
      <c r="F41" s="144"/>
      <c r="G41" s="146"/>
      <c r="H41" s="144"/>
      <c r="I41" s="148"/>
      <c r="J41" s="152"/>
      <c r="K41" s="148"/>
      <c r="L41" s="148"/>
      <c r="M41" s="148"/>
      <c r="N41" s="148"/>
      <c r="O41" s="148"/>
      <c r="P41" s="159" t="str">
        <f t="shared" ref="P41" si="5">IFERROR((AVERAGE(N41:O42)), "")</f>
        <v/>
      </c>
      <c r="Q41" s="151" t="str">
        <f>IFERROR((P41/$B$24*$C$14/$D$14*$E$14/$F$14*$G$14/$H$14*K41/J41*M41/L41*I41/H41*F41/G41*$K$14*$I$14/$J$14), "")</f>
        <v/>
      </c>
      <c r="R41" s="142"/>
    </row>
    <row r="42" spans="1:18" ht="30" customHeight="1" thickBot="1" x14ac:dyDescent="0.25">
      <c r="A42" s="138"/>
      <c r="B42" s="138"/>
      <c r="C42" s="138"/>
      <c r="D42" s="140"/>
      <c r="E42" s="140"/>
      <c r="F42" s="145"/>
      <c r="G42" s="147"/>
      <c r="H42" s="145"/>
      <c r="I42" s="149"/>
      <c r="J42" s="153"/>
      <c r="K42" s="149"/>
      <c r="L42" s="149"/>
      <c r="M42" s="149"/>
      <c r="N42" s="149"/>
      <c r="O42" s="149"/>
      <c r="P42" s="164"/>
      <c r="Q42" s="165"/>
      <c r="R42" s="143"/>
    </row>
    <row r="43" spans="1:18" ht="30" customHeight="1" x14ac:dyDescent="0.2">
      <c r="A43" s="138"/>
      <c r="B43" s="138"/>
      <c r="C43" s="138"/>
      <c r="D43" s="139"/>
      <c r="E43" s="139"/>
      <c r="F43" s="144"/>
      <c r="G43" s="146"/>
      <c r="H43" s="144"/>
      <c r="I43" s="148"/>
      <c r="J43" s="152"/>
      <c r="K43" s="148"/>
      <c r="L43" s="148"/>
      <c r="M43" s="148"/>
      <c r="N43" s="148"/>
      <c r="O43" s="148"/>
      <c r="P43" s="160" t="str">
        <f t="shared" ref="P43" si="6">IFERROR((AVERAGE(N43:O44)), "")</f>
        <v/>
      </c>
      <c r="Q43" s="161" t="str">
        <f>IFERROR((P43/$B$24*$C$14/$D$14*$E$14/$F$14*$G$14/$H$14*K43/J43*M43/L43*I43/H43*F43/G43*$K$14*$I$14/$J$14), "")</f>
        <v/>
      </c>
      <c r="R43" s="162" t="str">
        <f>IFERROR((AVERAGE(Q43:Q46)), "")</f>
        <v/>
      </c>
    </row>
    <row r="44" spans="1:18" ht="30" customHeight="1" x14ac:dyDescent="0.2">
      <c r="A44" s="138"/>
      <c r="B44" s="138"/>
      <c r="C44" s="138"/>
      <c r="D44" s="140"/>
      <c r="E44" s="140"/>
      <c r="F44" s="145"/>
      <c r="G44" s="147"/>
      <c r="H44" s="145"/>
      <c r="I44" s="149"/>
      <c r="J44" s="153"/>
      <c r="K44" s="149"/>
      <c r="L44" s="149"/>
      <c r="M44" s="149"/>
      <c r="N44" s="149"/>
      <c r="O44" s="149"/>
      <c r="P44" s="154"/>
      <c r="Q44" s="156"/>
      <c r="R44" s="142"/>
    </row>
    <row r="45" spans="1:18" ht="30" customHeight="1" x14ac:dyDescent="0.2">
      <c r="A45" s="138"/>
      <c r="B45" s="138"/>
      <c r="C45" s="138"/>
      <c r="D45" s="139"/>
      <c r="E45" s="139"/>
      <c r="F45" s="144"/>
      <c r="G45" s="146"/>
      <c r="H45" s="144"/>
      <c r="I45" s="148"/>
      <c r="J45" s="152"/>
      <c r="K45" s="148"/>
      <c r="L45" s="148"/>
      <c r="M45" s="148"/>
      <c r="N45" s="148"/>
      <c r="O45" s="148"/>
      <c r="P45" s="154" t="str">
        <f t="shared" ref="P45" si="7">IFERROR((AVERAGE(N45:O46)), "")</f>
        <v/>
      </c>
      <c r="Q45" s="156" t="str">
        <f>IFERROR((P45/$B$24*$C$14/$D$14*$E$14/$F$14*$G$14/$H$14*K45/J45*M45/L45*I45/H45*F45/G45*$K$14*$I$14/$J$14), "")</f>
        <v/>
      </c>
      <c r="R45" s="142"/>
    </row>
    <row r="46" spans="1:18" ht="30" customHeight="1" thickBot="1" x14ac:dyDescent="0.25">
      <c r="A46" s="138"/>
      <c r="B46" s="138"/>
      <c r="C46" s="138"/>
      <c r="D46" s="140"/>
      <c r="E46" s="140"/>
      <c r="F46" s="145"/>
      <c r="G46" s="147"/>
      <c r="H46" s="145"/>
      <c r="I46" s="149"/>
      <c r="J46" s="153"/>
      <c r="K46" s="149"/>
      <c r="L46" s="149"/>
      <c r="M46" s="149"/>
      <c r="N46" s="149"/>
      <c r="O46" s="149"/>
      <c r="P46" s="159"/>
      <c r="Q46" s="151"/>
      <c r="R46" s="163"/>
    </row>
    <row r="47" spans="1:18" ht="30" customHeight="1" x14ac:dyDescent="0.2">
      <c r="A47" s="138"/>
      <c r="B47" s="138"/>
      <c r="C47" s="138"/>
      <c r="D47" s="139"/>
      <c r="E47" s="139"/>
      <c r="F47" s="144"/>
      <c r="G47" s="146"/>
      <c r="H47" s="144"/>
      <c r="I47" s="148"/>
      <c r="J47" s="152"/>
      <c r="K47" s="148"/>
      <c r="L47" s="152"/>
      <c r="M47" s="166"/>
      <c r="N47" s="148"/>
      <c r="O47" s="148"/>
      <c r="P47" s="158" t="str">
        <f t="shared" ref="P47" si="8">IFERROR((AVERAGE(N47:O48)), "")</f>
        <v/>
      </c>
      <c r="Q47" s="150" t="str">
        <f>IFERROR((P47/$B$24*$C$14/$D$14*$E$14/$F$14*$G$14/$H$14*K47/J47*M47/L47*I47/H47*F47/G47*$K$14*$I$14/$J$14), "")</f>
        <v/>
      </c>
      <c r="R47" s="141" t="str">
        <f>IFERROR((AVERAGE(Q47:Q50)), "")</f>
        <v/>
      </c>
    </row>
    <row r="48" spans="1:18" ht="30" customHeight="1" x14ac:dyDescent="0.2">
      <c r="A48" s="138"/>
      <c r="B48" s="138"/>
      <c r="C48" s="138"/>
      <c r="D48" s="140"/>
      <c r="E48" s="140"/>
      <c r="F48" s="145"/>
      <c r="G48" s="147"/>
      <c r="H48" s="145"/>
      <c r="I48" s="149"/>
      <c r="J48" s="153"/>
      <c r="K48" s="149"/>
      <c r="L48" s="153"/>
      <c r="M48" s="166"/>
      <c r="N48" s="149"/>
      <c r="O48" s="149"/>
      <c r="P48" s="154"/>
      <c r="Q48" s="156"/>
      <c r="R48" s="142"/>
    </row>
    <row r="49" spans="1:18" ht="30" customHeight="1" x14ac:dyDescent="0.2">
      <c r="A49" s="138"/>
      <c r="B49" s="138"/>
      <c r="C49" s="138"/>
      <c r="D49" s="139"/>
      <c r="E49" s="139"/>
      <c r="F49" s="144"/>
      <c r="G49" s="146"/>
      <c r="H49" s="144"/>
      <c r="I49" s="148"/>
      <c r="J49" s="152"/>
      <c r="K49" s="148"/>
      <c r="L49" s="152"/>
      <c r="M49" s="166"/>
      <c r="N49" s="148"/>
      <c r="O49" s="148"/>
      <c r="P49" s="154" t="str">
        <f t="shared" ref="P49" si="9">IFERROR((AVERAGE(N49:O50)), "")</f>
        <v/>
      </c>
      <c r="Q49" s="156" t="str">
        <f>IFERROR((P49/$B$24*$C$14/$D$14*$E$14/$F$14*$G$14/$H$14*K49/J49*M49/L49*I49/H49*F49/G49*$K$14*$I$14/$J$14), "")</f>
        <v/>
      </c>
      <c r="R49" s="142"/>
    </row>
    <row r="50" spans="1:18" ht="30" customHeight="1" thickBot="1" x14ac:dyDescent="0.25">
      <c r="A50" s="138"/>
      <c r="B50" s="138"/>
      <c r="C50" s="138"/>
      <c r="D50" s="140"/>
      <c r="E50" s="140"/>
      <c r="F50" s="145"/>
      <c r="G50" s="147"/>
      <c r="H50" s="145"/>
      <c r="I50" s="149"/>
      <c r="J50" s="153"/>
      <c r="K50" s="149"/>
      <c r="L50" s="153"/>
      <c r="M50" s="166"/>
      <c r="N50" s="149"/>
      <c r="O50" s="149"/>
      <c r="P50" s="155"/>
      <c r="Q50" s="157"/>
      <c r="R50" s="143"/>
    </row>
    <row r="51" spans="1:18" ht="30" customHeight="1" x14ac:dyDescent="0.2">
      <c r="A51" s="138"/>
      <c r="B51" s="138"/>
      <c r="C51" s="138"/>
      <c r="D51" s="139"/>
      <c r="E51" s="139"/>
      <c r="F51" s="144"/>
      <c r="G51" s="146"/>
      <c r="H51" s="144"/>
      <c r="I51" s="148"/>
      <c r="J51" s="152"/>
      <c r="K51" s="148"/>
      <c r="L51" s="152"/>
      <c r="M51" s="166"/>
      <c r="N51" s="148"/>
      <c r="O51" s="148"/>
      <c r="P51" s="158" t="str">
        <f t="shared" ref="P51" si="10">IFERROR((AVERAGE(N51:O52)), "")</f>
        <v/>
      </c>
      <c r="Q51" s="150" t="str">
        <f>IFERROR((P51/$B$24*$C$14/$D$14*$E$14/$F$14*$G$14/$H$14*K51/J51*M51/L51*I51/H51*F51/G51*$K$14*$I$14/$J$14), "")</f>
        <v/>
      </c>
      <c r="R51" s="141" t="str">
        <f>IFERROR((AVERAGE(Q51:Q54)), "")</f>
        <v/>
      </c>
    </row>
    <row r="52" spans="1:18" ht="30" customHeight="1" x14ac:dyDescent="0.2">
      <c r="A52" s="138"/>
      <c r="B52" s="138"/>
      <c r="C52" s="138"/>
      <c r="D52" s="140"/>
      <c r="E52" s="140"/>
      <c r="F52" s="145"/>
      <c r="G52" s="147"/>
      <c r="H52" s="145"/>
      <c r="I52" s="149"/>
      <c r="J52" s="153"/>
      <c r="K52" s="149"/>
      <c r="L52" s="153"/>
      <c r="M52" s="166"/>
      <c r="N52" s="149"/>
      <c r="O52" s="149"/>
      <c r="P52" s="154"/>
      <c r="Q52" s="156"/>
      <c r="R52" s="142"/>
    </row>
    <row r="53" spans="1:18" ht="30" customHeight="1" x14ac:dyDescent="0.2">
      <c r="A53" s="138"/>
      <c r="B53" s="138"/>
      <c r="C53" s="138"/>
      <c r="D53" s="139"/>
      <c r="E53" s="139"/>
      <c r="F53" s="144"/>
      <c r="G53" s="146"/>
      <c r="H53" s="144"/>
      <c r="I53" s="148"/>
      <c r="J53" s="152"/>
      <c r="K53" s="148"/>
      <c r="L53" s="152"/>
      <c r="M53" s="166"/>
      <c r="N53" s="148"/>
      <c r="O53" s="148"/>
      <c r="P53" s="154" t="str">
        <f t="shared" ref="P53" si="11">IFERROR((AVERAGE(N53:O54)), "")</f>
        <v/>
      </c>
      <c r="Q53" s="156" t="str">
        <f>IFERROR((P53/$B$24*$C$14/$D$14*$E$14/$F$14*$G$14/$H$14*K53/J53*M53/L53*I53/H53*F53/G53*$K$14*$I$14/$J$14), "")</f>
        <v/>
      </c>
      <c r="R53" s="142"/>
    </row>
    <row r="54" spans="1:18" ht="30" customHeight="1" thickBot="1" x14ac:dyDescent="0.25">
      <c r="A54" s="138"/>
      <c r="B54" s="138"/>
      <c r="C54" s="138"/>
      <c r="D54" s="140"/>
      <c r="E54" s="140"/>
      <c r="F54" s="145"/>
      <c r="G54" s="147"/>
      <c r="H54" s="145"/>
      <c r="I54" s="149"/>
      <c r="J54" s="153"/>
      <c r="K54" s="149"/>
      <c r="L54" s="153"/>
      <c r="M54" s="166"/>
      <c r="N54" s="149"/>
      <c r="O54" s="149"/>
      <c r="P54" s="155"/>
      <c r="Q54" s="157"/>
      <c r="R54" s="143"/>
    </row>
    <row r="55" spans="1:18" ht="30" customHeight="1" x14ac:dyDescent="0.2">
      <c r="A55" s="138"/>
      <c r="B55" s="138"/>
      <c r="C55" s="138"/>
      <c r="D55" s="139"/>
      <c r="E55" s="139"/>
      <c r="F55" s="144"/>
      <c r="G55" s="146"/>
      <c r="H55" s="167"/>
      <c r="I55" s="148"/>
      <c r="J55" s="152"/>
      <c r="K55" s="148"/>
      <c r="L55" s="152"/>
      <c r="M55" s="166"/>
      <c r="N55" s="148"/>
      <c r="O55" s="148"/>
      <c r="P55" s="158" t="str">
        <f t="shared" ref="P55" si="12">IFERROR((AVERAGE(N55:O56)), "")</f>
        <v/>
      </c>
      <c r="Q55" s="150" t="str">
        <f>IFERROR((P55/$B$24*$C$14/$D$14*$E$14/$F$14*$G$14/$H$14*K55/J55*M55/L55*I55/H55*F55/G55*$K$14*$I$14/$J$14), "")</f>
        <v/>
      </c>
      <c r="R55" s="141" t="str">
        <f>IFERROR((AVERAGE(Q55:Q58)), "")</f>
        <v/>
      </c>
    </row>
    <row r="56" spans="1:18" ht="30" customHeight="1" x14ac:dyDescent="0.2">
      <c r="A56" s="138"/>
      <c r="B56" s="138"/>
      <c r="C56" s="138"/>
      <c r="D56" s="140"/>
      <c r="E56" s="140"/>
      <c r="F56" s="145"/>
      <c r="G56" s="147"/>
      <c r="H56" s="167"/>
      <c r="I56" s="149"/>
      <c r="J56" s="153"/>
      <c r="K56" s="149"/>
      <c r="L56" s="153"/>
      <c r="M56" s="166"/>
      <c r="N56" s="149"/>
      <c r="O56" s="149"/>
      <c r="P56" s="154"/>
      <c r="Q56" s="156"/>
      <c r="R56" s="142"/>
    </row>
    <row r="57" spans="1:18" ht="30" customHeight="1" x14ac:dyDescent="0.2">
      <c r="A57" s="138"/>
      <c r="B57" s="138"/>
      <c r="C57" s="138"/>
      <c r="D57" s="139"/>
      <c r="E57" s="139"/>
      <c r="F57" s="144"/>
      <c r="G57" s="146"/>
      <c r="H57" s="167"/>
      <c r="I57" s="148"/>
      <c r="J57" s="152"/>
      <c r="K57" s="148"/>
      <c r="L57" s="152"/>
      <c r="M57" s="166"/>
      <c r="N57" s="148"/>
      <c r="O57" s="148"/>
      <c r="P57" s="154" t="str">
        <f t="shared" ref="P57" si="13">IFERROR((AVERAGE(N57:O58)), "")</f>
        <v/>
      </c>
      <c r="Q57" s="156" t="str">
        <f>IFERROR((P57/$B$24*$C$14/$D$14*$E$14/$F$14*$G$14/$H$14*K57/J57*M57/L57*I57/H57*F57/G57*$K$14*$I$14/$J$14), "")</f>
        <v/>
      </c>
      <c r="R57" s="142"/>
    </row>
    <row r="58" spans="1:18" ht="30" customHeight="1" thickBot="1" x14ac:dyDescent="0.25">
      <c r="A58" s="138"/>
      <c r="B58" s="138"/>
      <c r="C58" s="138"/>
      <c r="D58" s="140"/>
      <c r="E58" s="140"/>
      <c r="F58" s="145"/>
      <c r="G58" s="147"/>
      <c r="H58" s="167"/>
      <c r="I58" s="149"/>
      <c r="J58" s="153"/>
      <c r="K58" s="149"/>
      <c r="L58" s="153"/>
      <c r="M58" s="166"/>
      <c r="N58" s="149"/>
      <c r="O58" s="149"/>
      <c r="P58" s="155"/>
      <c r="Q58" s="157"/>
      <c r="R58" s="143"/>
    </row>
    <row r="59" spans="1:18" ht="30" customHeight="1" x14ac:dyDescent="0.2">
      <c r="A59" s="138"/>
      <c r="B59" s="138"/>
      <c r="C59" s="138"/>
      <c r="D59" s="139"/>
      <c r="E59" s="139"/>
      <c r="F59" s="144"/>
      <c r="G59" s="146"/>
      <c r="H59" s="167"/>
      <c r="I59" s="148"/>
      <c r="J59" s="152"/>
      <c r="K59" s="148"/>
      <c r="L59" s="152"/>
      <c r="M59" s="166"/>
      <c r="N59" s="148"/>
      <c r="O59" s="148"/>
      <c r="P59" s="158" t="str">
        <f t="shared" ref="P59" si="14">IFERROR((AVERAGE(N59:O60)), "")</f>
        <v/>
      </c>
      <c r="Q59" s="150" t="str">
        <f>IFERROR((P59/$B$24*$C$14/$D$14*$E$14/$F$14*$G$14/$H$14*K59/J59*M59/L59*I59/H59*F59/G59*$K$14*$I$14/$J$14), "")</f>
        <v/>
      </c>
      <c r="R59" s="141" t="str">
        <f>IFERROR((AVERAGE(Q59:Q62)), "")</f>
        <v/>
      </c>
    </row>
    <row r="60" spans="1:18" ht="30" customHeight="1" x14ac:dyDescent="0.2">
      <c r="A60" s="138"/>
      <c r="B60" s="138"/>
      <c r="C60" s="138"/>
      <c r="D60" s="140"/>
      <c r="E60" s="140"/>
      <c r="F60" s="145"/>
      <c r="G60" s="147"/>
      <c r="H60" s="167"/>
      <c r="I60" s="149"/>
      <c r="J60" s="153"/>
      <c r="K60" s="149"/>
      <c r="L60" s="153"/>
      <c r="M60" s="166"/>
      <c r="N60" s="149"/>
      <c r="O60" s="149"/>
      <c r="P60" s="154"/>
      <c r="Q60" s="156"/>
      <c r="R60" s="142"/>
    </row>
    <row r="61" spans="1:18" ht="30" customHeight="1" x14ac:dyDescent="0.2">
      <c r="A61" s="138"/>
      <c r="B61" s="138"/>
      <c r="C61" s="138"/>
      <c r="D61" s="139"/>
      <c r="E61" s="139"/>
      <c r="F61" s="144"/>
      <c r="G61" s="146"/>
      <c r="H61" s="167"/>
      <c r="I61" s="148"/>
      <c r="J61" s="152"/>
      <c r="K61" s="148"/>
      <c r="L61" s="152"/>
      <c r="M61" s="166"/>
      <c r="N61" s="148"/>
      <c r="O61" s="148"/>
      <c r="P61" s="154" t="str">
        <f t="shared" ref="P61" si="15">IFERROR((AVERAGE(N61:O62)), "")</f>
        <v/>
      </c>
      <c r="Q61" s="156" t="str">
        <f>IFERROR((P61/$B$24*$C$14/$D$14*$E$14/$F$14*$G$14/$H$14*K61/J61*M61/L61*I61/H61*F61/G61*$K$14*$I$14/$J$14), "")</f>
        <v/>
      </c>
      <c r="R61" s="142"/>
    </row>
    <row r="62" spans="1:18" ht="30" customHeight="1" thickBot="1" x14ac:dyDescent="0.25">
      <c r="A62" s="138"/>
      <c r="B62" s="138"/>
      <c r="C62" s="138"/>
      <c r="D62" s="140"/>
      <c r="E62" s="140"/>
      <c r="F62" s="145"/>
      <c r="G62" s="147"/>
      <c r="H62" s="167"/>
      <c r="I62" s="149"/>
      <c r="J62" s="153"/>
      <c r="K62" s="149"/>
      <c r="L62" s="153"/>
      <c r="M62" s="166"/>
      <c r="N62" s="149"/>
      <c r="O62" s="149"/>
      <c r="P62" s="155"/>
      <c r="Q62" s="157"/>
      <c r="R62" s="143"/>
    </row>
    <row r="63" spans="1:18" ht="17.100000000000001" customHeight="1" thickBot="1" x14ac:dyDescent="0.25">
      <c r="A63" s="44"/>
      <c r="B63" s="19"/>
      <c r="C63" s="19"/>
      <c r="D63" s="19"/>
      <c r="E63" s="19"/>
      <c r="F63" s="19"/>
      <c r="G63" s="19"/>
      <c r="H63" s="45"/>
      <c r="I63" s="19"/>
      <c r="J63" s="19"/>
      <c r="K63" s="19"/>
      <c r="L63" s="19"/>
      <c r="M63" s="19"/>
      <c r="N63" s="19"/>
      <c r="O63" s="19"/>
      <c r="P63" s="19"/>
      <c r="Q63" s="19"/>
      <c r="R63" s="15"/>
    </row>
    <row r="64" spans="1:18" ht="17.100000000000001" customHeight="1" x14ac:dyDescent="0.2">
      <c r="A64" s="168" t="s">
        <v>13</v>
      </c>
      <c r="B64" s="171"/>
      <c r="C64" s="172"/>
      <c r="D64" s="173"/>
      <c r="E64" s="45"/>
      <c r="F64" s="19"/>
      <c r="G64" s="19"/>
      <c r="H64" s="45"/>
      <c r="I64" s="19"/>
      <c r="J64" s="180" t="s">
        <v>12</v>
      </c>
      <c r="K64" s="181"/>
      <c r="L64" s="182"/>
      <c r="M64" s="189"/>
      <c r="N64" s="190"/>
      <c r="O64" s="190"/>
      <c r="P64" s="190"/>
      <c r="Q64" s="190"/>
      <c r="R64" s="191"/>
    </row>
    <row r="65" spans="1:18" ht="17.100000000000001" customHeight="1" x14ac:dyDescent="0.2">
      <c r="A65" s="169"/>
      <c r="B65" s="174"/>
      <c r="C65" s="175"/>
      <c r="D65" s="176"/>
      <c r="E65" s="45"/>
      <c r="F65" s="19"/>
      <c r="G65" s="19"/>
      <c r="H65" s="45"/>
      <c r="I65" s="19"/>
      <c r="J65" s="183"/>
      <c r="K65" s="184"/>
      <c r="L65" s="185"/>
      <c r="M65" s="192"/>
      <c r="N65" s="193"/>
      <c r="O65" s="193"/>
      <c r="P65" s="193"/>
      <c r="Q65" s="193"/>
      <c r="R65" s="194"/>
    </row>
    <row r="66" spans="1:18" ht="17.100000000000001" customHeight="1" x14ac:dyDescent="0.2">
      <c r="A66" s="169"/>
      <c r="B66" s="174"/>
      <c r="C66" s="175"/>
      <c r="D66" s="176"/>
      <c r="E66" s="45"/>
      <c r="F66" s="19"/>
      <c r="G66" s="19"/>
      <c r="H66" s="45"/>
      <c r="I66" s="19"/>
      <c r="J66" s="183"/>
      <c r="K66" s="184"/>
      <c r="L66" s="185"/>
      <c r="M66" s="192"/>
      <c r="N66" s="193"/>
      <c r="O66" s="193"/>
      <c r="P66" s="193"/>
      <c r="Q66" s="193"/>
      <c r="R66" s="194"/>
    </row>
    <row r="67" spans="1:18" ht="17.100000000000001" customHeight="1" x14ac:dyDescent="0.2">
      <c r="A67" s="169"/>
      <c r="B67" s="174"/>
      <c r="C67" s="175"/>
      <c r="D67" s="176"/>
      <c r="E67" s="45"/>
      <c r="F67" s="19"/>
      <c r="G67" s="19"/>
      <c r="H67" s="45"/>
      <c r="I67" s="19"/>
      <c r="J67" s="183"/>
      <c r="K67" s="184"/>
      <c r="L67" s="185"/>
      <c r="M67" s="192"/>
      <c r="N67" s="193"/>
      <c r="O67" s="193"/>
      <c r="P67" s="193"/>
      <c r="Q67" s="193"/>
      <c r="R67" s="194"/>
    </row>
    <row r="68" spans="1:18" ht="17.100000000000001" customHeight="1" thickBot="1" x14ac:dyDescent="0.25">
      <c r="A68" s="170"/>
      <c r="B68" s="177"/>
      <c r="C68" s="178"/>
      <c r="D68" s="179"/>
      <c r="E68" s="46"/>
      <c r="F68" s="47"/>
      <c r="G68" s="47"/>
      <c r="H68" s="46"/>
      <c r="I68" s="47"/>
      <c r="J68" s="186"/>
      <c r="K68" s="187"/>
      <c r="L68" s="188"/>
      <c r="M68" s="195"/>
      <c r="N68" s="196"/>
      <c r="O68" s="196"/>
      <c r="P68" s="196"/>
      <c r="Q68" s="196"/>
      <c r="R68" s="197"/>
    </row>
    <row r="69" spans="1:18" ht="17.100000000000001" customHeight="1" x14ac:dyDescent="0.2">
      <c r="B69" s="48"/>
      <c r="C69" s="48"/>
      <c r="D69" s="48"/>
      <c r="E69" s="48"/>
      <c r="F69" s="48"/>
      <c r="G69" s="48"/>
      <c r="I69" s="48"/>
      <c r="J69" s="48"/>
      <c r="K69" s="48"/>
      <c r="L69" s="48"/>
      <c r="M69" s="48"/>
    </row>
  </sheetData>
  <mergeCells count="337">
    <mergeCell ref="K59:K60"/>
    <mergeCell ref="K57:K58"/>
    <mergeCell ref="L57:L58"/>
    <mergeCell ref="M57:M58"/>
    <mergeCell ref="N57:N58"/>
    <mergeCell ref="O57:O58"/>
    <mergeCell ref="O59:O60"/>
    <mergeCell ref="A64:A68"/>
    <mergeCell ref="B64:D68"/>
    <mergeCell ref="J64:L68"/>
    <mergeCell ref="M64:R68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P59:P60"/>
    <mergeCell ref="Q59:Q60"/>
    <mergeCell ref="R59:R62"/>
    <mergeCell ref="L59:L60"/>
    <mergeCell ref="M59:M60"/>
    <mergeCell ref="N59:N60"/>
    <mergeCell ref="M61:M62"/>
    <mergeCell ref="N61:N62"/>
    <mergeCell ref="O61:O62"/>
    <mergeCell ref="P61:P62"/>
    <mergeCell ref="Q61:Q62"/>
    <mergeCell ref="A59:A60"/>
    <mergeCell ref="B59:B60"/>
    <mergeCell ref="C59:C60"/>
    <mergeCell ref="D59:D60"/>
    <mergeCell ref="E59:E60"/>
    <mergeCell ref="F59:F60"/>
    <mergeCell ref="G59:G60"/>
    <mergeCell ref="H59:H60"/>
    <mergeCell ref="J57:J58"/>
    <mergeCell ref="I59:I60"/>
    <mergeCell ref="J59:J60"/>
    <mergeCell ref="R55:R58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P57:P58"/>
    <mergeCell ref="Q57:Q58"/>
    <mergeCell ref="K51:K52"/>
    <mergeCell ref="K53:K54"/>
    <mergeCell ref="K49:K50"/>
    <mergeCell ref="L49:L50"/>
    <mergeCell ref="M49:M50"/>
    <mergeCell ref="N49:N50"/>
    <mergeCell ref="O49:O50"/>
    <mergeCell ref="O51:O52"/>
    <mergeCell ref="A55:A56"/>
    <mergeCell ref="B55:B56"/>
    <mergeCell ref="C55:C56"/>
    <mergeCell ref="D55:D56"/>
    <mergeCell ref="E55:E56"/>
    <mergeCell ref="G53:G54"/>
    <mergeCell ref="H53:H54"/>
    <mergeCell ref="I53:I54"/>
    <mergeCell ref="J53:J54"/>
    <mergeCell ref="A53:A54"/>
    <mergeCell ref="B53:B54"/>
    <mergeCell ref="C53:C54"/>
    <mergeCell ref="D53:D54"/>
    <mergeCell ref="E53:E54"/>
    <mergeCell ref="F53:F54"/>
    <mergeCell ref="A51:A52"/>
    <mergeCell ref="P51:P52"/>
    <mergeCell ref="Q51:Q52"/>
    <mergeCell ref="R51:R54"/>
    <mergeCell ref="L51:L52"/>
    <mergeCell ref="M51:M52"/>
    <mergeCell ref="N51:N52"/>
    <mergeCell ref="M53:M54"/>
    <mergeCell ref="N53:N54"/>
    <mergeCell ref="O53:O54"/>
    <mergeCell ref="P53:P54"/>
    <mergeCell ref="Q53:Q54"/>
    <mergeCell ref="L53:L54"/>
    <mergeCell ref="B51:B52"/>
    <mergeCell ref="C51:C52"/>
    <mergeCell ref="D51:D52"/>
    <mergeCell ref="E51:E52"/>
    <mergeCell ref="F51:F52"/>
    <mergeCell ref="G51:G52"/>
    <mergeCell ref="H51:H52"/>
    <mergeCell ref="J49:J50"/>
    <mergeCell ref="I51:I52"/>
    <mergeCell ref="J51:J52"/>
    <mergeCell ref="R47:R50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L47:L48"/>
    <mergeCell ref="M47:M48"/>
    <mergeCell ref="N47:N48"/>
    <mergeCell ref="O47:O48"/>
    <mergeCell ref="P47:P48"/>
    <mergeCell ref="Q47:Q48"/>
    <mergeCell ref="F47:F48"/>
    <mergeCell ref="G47:G48"/>
    <mergeCell ref="H47:H48"/>
    <mergeCell ref="I47:I48"/>
    <mergeCell ref="J47:J48"/>
    <mergeCell ref="K47:K48"/>
    <mergeCell ref="P49:P50"/>
    <mergeCell ref="Q49:Q50"/>
    <mergeCell ref="K43:K44"/>
    <mergeCell ref="K45:K46"/>
    <mergeCell ref="K41:K42"/>
    <mergeCell ref="L41:L42"/>
    <mergeCell ref="M41:M42"/>
    <mergeCell ref="N41:N42"/>
    <mergeCell ref="O41:O42"/>
    <mergeCell ref="O43:O44"/>
    <mergeCell ref="A47:A48"/>
    <mergeCell ref="B47:B48"/>
    <mergeCell ref="C47:C48"/>
    <mergeCell ref="D47:D48"/>
    <mergeCell ref="E47:E48"/>
    <mergeCell ref="G45:G46"/>
    <mergeCell ref="H45:H46"/>
    <mergeCell ref="I45:I46"/>
    <mergeCell ref="J45:J46"/>
    <mergeCell ref="A45:A46"/>
    <mergeCell ref="B45:B46"/>
    <mergeCell ref="C45:C46"/>
    <mergeCell ref="D45:D46"/>
    <mergeCell ref="E45:E46"/>
    <mergeCell ref="F45:F46"/>
    <mergeCell ref="A43:A44"/>
    <mergeCell ref="P43:P44"/>
    <mergeCell ref="Q43:Q44"/>
    <mergeCell ref="R43:R46"/>
    <mergeCell ref="L43:L44"/>
    <mergeCell ref="M43:M44"/>
    <mergeCell ref="N43:N44"/>
    <mergeCell ref="M45:M46"/>
    <mergeCell ref="N45:N46"/>
    <mergeCell ref="O45:O46"/>
    <mergeCell ref="P45:P46"/>
    <mergeCell ref="Q45:Q46"/>
    <mergeCell ref="L45:L46"/>
    <mergeCell ref="B43:B44"/>
    <mergeCell ref="C43:C44"/>
    <mergeCell ref="D43:D44"/>
    <mergeCell ref="E43:E44"/>
    <mergeCell ref="F43:F44"/>
    <mergeCell ref="G43:G44"/>
    <mergeCell ref="H43:H44"/>
    <mergeCell ref="J41:J42"/>
    <mergeCell ref="I43:I44"/>
    <mergeCell ref="J43:J44"/>
    <mergeCell ref="R39:R42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P41:P42"/>
    <mergeCell ref="Q41:Q42"/>
    <mergeCell ref="A39:A40"/>
    <mergeCell ref="B39:B40"/>
    <mergeCell ref="C39:C40"/>
    <mergeCell ref="D39:D40"/>
    <mergeCell ref="E39:E40"/>
    <mergeCell ref="G37:G38"/>
    <mergeCell ref="H37:H38"/>
    <mergeCell ref="I37:I38"/>
    <mergeCell ref="J37:J38"/>
    <mergeCell ref="Q35:Q36"/>
    <mergeCell ref="R35:R38"/>
    <mergeCell ref="A37:A38"/>
    <mergeCell ref="B37:B38"/>
    <mergeCell ref="C37:C38"/>
    <mergeCell ref="D37:D38"/>
    <mergeCell ref="E37:E38"/>
    <mergeCell ref="F37:F38"/>
    <mergeCell ref="I35:I36"/>
    <mergeCell ref="J35:J36"/>
    <mergeCell ref="K35:K36"/>
    <mergeCell ref="L35:L36"/>
    <mergeCell ref="M35:M36"/>
    <mergeCell ref="N35:N36"/>
    <mergeCell ref="M37:M38"/>
    <mergeCell ref="N37:N38"/>
    <mergeCell ref="O37:O38"/>
    <mergeCell ref="P37:P38"/>
    <mergeCell ref="Q37:Q38"/>
    <mergeCell ref="K37:K38"/>
    <mergeCell ref="L37:L38"/>
    <mergeCell ref="A35:A36"/>
    <mergeCell ref="B35:B36"/>
    <mergeCell ref="C35:C36"/>
    <mergeCell ref="D35:D36"/>
    <mergeCell ref="E35:E36"/>
    <mergeCell ref="F35:F36"/>
    <mergeCell ref="G35:G36"/>
    <mergeCell ref="H35:H36"/>
    <mergeCell ref="J33:J34"/>
    <mergeCell ref="P31:P32"/>
    <mergeCell ref="O35:O36"/>
    <mergeCell ref="P35:P36"/>
    <mergeCell ref="Q31:Q32"/>
    <mergeCell ref="F31:F32"/>
    <mergeCell ref="G31:G32"/>
    <mergeCell ref="H31:H32"/>
    <mergeCell ref="I31:I32"/>
    <mergeCell ref="J31:J32"/>
    <mergeCell ref="K31:K32"/>
    <mergeCell ref="P33:P34"/>
    <mergeCell ref="Q33:Q34"/>
    <mergeCell ref="K33:K34"/>
    <mergeCell ref="L33:L34"/>
    <mergeCell ref="M33:M34"/>
    <mergeCell ref="N33:N34"/>
    <mergeCell ref="O33:O34"/>
    <mergeCell ref="E25:F25"/>
    <mergeCell ref="I25:J25"/>
    <mergeCell ref="E26:F26"/>
    <mergeCell ref="I26:J26"/>
    <mergeCell ref="A28:R28"/>
    <mergeCell ref="A31:A32"/>
    <mergeCell ref="B31:B32"/>
    <mergeCell ref="C31:C32"/>
    <mergeCell ref="D31:D32"/>
    <mergeCell ref="E31:E32"/>
    <mergeCell ref="R31:R34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L31:L32"/>
    <mergeCell ref="M31:M32"/>
    <mergeCell ref="N31:N32"/>
    <mergeCell ref="O31:O32"/>
    <mergeCell ref="E22:F22"/>
    <mergeCell ref="I22:J22"/>
    <mergeCell ref="Q22:R22"/>
    <mergeCell ref="E23:F23"/>
    <mergeCell ref="I23:J23"/>
    <mergeCell ref="O23:P24"/>
    <mergeCell ref="Q23:R24"/>
    <mergeCell ref="E24:F24"/>
    <mergeCell ref="I24:J24"/>
    <mergeCell ref="E18:F18"/>
    <mergeCell ref="I18:J18"/>
    <mergeCell ref="Q18:R21"/>
    <mergeCell ref="E19:F19"/>
    <mergeCell ref="I19:J19"/>
    <mergeCell ref="E20:F20"/>
    <mergeCell ref="I20:J20"/>
    <mergeCell ref="E21:F21"/>
    <mergeCell ref="I21:J21"/>
    <mergeCell ref="A16:A17"/>
    <mergeCell ref="D16:D17"/>
    <mergeCell ref="E16:F16"/>
    <mergeCell ref="H16:H17"/>
    <mergeCell ref="I16:J16"/>
    <mergeCell ref="Q16:R16"/>
    <mergeCell ref="E17:F17"/>
    <mergeCell ref="I17:J17"/>
    <mergeCell ref="Q17:R17"/>
    <mergeCell ref="A13:B13"/>
    <mergeCell ref="O13:O15"/>
    <mergeCell ref="P13:R13"/>
    <mergeCell ref="A14:B14"/>
    <mergeCell ref="P14:P15"/>
    <mergeCell ref="Q14:R15"/>
    <mergeCell ref="B7:H7"/>
    <mergeCell ref="J7:K7"/>
    <mergeCell ref="L7:R7"/>
    <mergeCell ref="B8:H8"/>
    <mergeCell ref="J8:K8"/>
    <mergeCell ref="L8:R8"/>
    <mergeCell ref="A1:R1"/>
    <mergeCell ref="A2:R2"/>
    <mergeCell ref="A3:R3"/>
    <mergeCell ref="A4:R4"/>
    <mergeCell ref="B6:H6"/>
    <mergeCell ref="J6:K6"/>
    <mergeCell ref="L6:R6"/>
    <mergeCell ref="B9:H9"/>
    <mergeCell ref="A11:R11"/>
  </mergeCells>
  <pageMargins left="0.19685039370078741" right="0.19685039370078741" top="0" bottom="0" header="0" footer="0"/>
  <pageSetup paperSize="9" scale="29" fitToHeight="0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2026-06-24T05:03:26Z</dcterms:modified>
</cp:coreProperties>
</file>