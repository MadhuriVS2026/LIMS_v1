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10008438\Desktop\"/>
    </mc:Choice>
  </mc:AlternateContent>
  <xr:revisionPtr revIDLastSave="0" documentId="13_ncr:1_{8F75A4E4-5F88-49D7-A97C-C37ED76FF4EE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Accuracy Calculation sheet 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3" l="1"/>
  <c r="F21" i="3"/>
  <c r="L48" i="3" l="1"/>
  <c r="M48" i="3" s="1"/>
  <c r="G42" i="3" l="1"/>
  <c r="H42" i="3" s="1"/>
  <c r="I22" i="3" l="1"/>
  <c r="I21" i="3"/>
  <c r="F20" i="3"/>
  <c r="I20" i="3" s="1"/>
  <c r="L58" i="3"/>
  <c r="L61" i="3"/>
  <c r="M61" i="3" s="1"/>
  <c r="L64" i="3"/>
  <c r="M64" i="3" s="1"/>
  <c r="G58" i="3"/>
  <c r="H58" i="3" s="1"/>
  <c r="G61" i="3"/>
  <c r="H61" i="3" s="1"/>
  <c r="G64" i="3"/>
  <c r="H64" i="3" s="1"/>
  <c r="M58" i="3" l="1"/>
  <c r="L42" i="3" l="1"/>
  <c r="L51" i="3" l="1"/>
  <c r="M51" i="3" s="1"/>
  <c r="G51" i="3"/>
  <c r="H51" i="3" s="1"/>
  <c r="G48" i="3"/>
  <c r="H48" i="3" s="1"/>
  <c r="L45" i="3"/>
  <c r="M45" i="3" s="1"/>
  <c r="G45" i="3"/>
  <c r="M42" i="3"/>
  <c r="I15" i="3"/>
  <c r="K15" i="3" s="1"/>
  <c r="F15" i="3"/>
  <c r="I14" i="3"/>
  <c r="K14" i="3" s="1"/>
  <c r="F14" i="3"/>
  <c r="I13" i="3"/>
  <c r="F13" i="3"/>
  <c r="I12" i="3"/>
  <c r="K12" i="3" s="1"/>
  <c r="F12" i="3"/>
  <c r="I11" i="3"/>
  <c r="K11" i="3" s="1"/>
  <c r="B42" i="3" s="1"/>
  <c r="F11" i="3"/>
  <c r="K13" i="3" l="1"/>
  <c r="B54" i="3" s="1"/>
  <c r="D7" i="2" s="1"/>
  <c r="B45" i="3"/>
  <c r="B48" i="3"/>
  <c r="B51" i="3"/>
  <c r="H45" i="3"/>
  <c r="G54" i="3"/>
  <c r="N54" i="3" l="1"/>
  <c r="E7" i="2" s="1"/>
  <c r="N64" i="3"/>
  <c r="E72" i="3" s="1"/>
  <c r="N61" i="3"/>
  <c r="E71" i="3" s="1"/>
  <c r="N58" i="3"/>
  <c r="E70" i="3" s="1"/>
  <c r="N42" i="3"/>
  <c r="E5" i="2" s="1"/>
  <c r="N51" i="3"/>
  <c r="E9" i="2" s="1"/>
  <c r="N48" i="3"/>
  <c r="E8" i="2" s="1"/>
  <c r="N45" i="3"/>
  <c r="E6" i="2" s="1"/>
  <c r="C71" i="3" l="1"/>
  <c r="D72" i="3"/>
  <c r="C72" i="3"/>
  <c r="D70" i="3"/>
  <c r="C70" i="3"/>
  <c r="D71" i="3"/>
  <c r="F71" i="3" l="1"/>
  <c r="G71" i="3" s="1"/>
  <c r="F70" i="3"/>
  <c r="H70" i="3" s="1"/>
  <c r="F72" i="3"/>
  <c r="H72" i="3" l="1"/>
  <c r="G72" i="3"/>
  <c r="H71" i="3"/>
  <c r="G70" i="3"/>
  <c r="G73" i="3" l="1"/>
  <c r="H74" i="3"/>
  <c r="H73" i="3"/>
  <c r="H75" i="3" l="1"/>
</calcChain>
</file>

<file path=xl/sharedStrings.xml><?xml version="1.0" encoding="utf-8"?>
<sst xmlns="http://schemas.openxmlformats.org/spreadsheetml/2006/main" count="112" uniqueCount="71">
  <si>
    <t xml:space="preserve">Date </t>
  </si>
  <si>
    <t xml:space="preserve">Product Name </t>
  </si>
  <si>
    <t>Batch No.</t>
  </si>
  <si>
    <t>Condition</t>
  </si>
  <si>
    <t>Sample Details</t>
  </si>
  <si>
    <t>Standard Details</t>
  </si>
  <si>
    <t>Name</t>
  </si>
  <si>
    <t xml:space="preserve">Batch No. </t>
  </si>
  <si>
    <t>Potency</t>
  </si>
  <si>
    <t xml:space="preserve">Valid up to </t>
  </si>
  <si>
    <t xml:space="preserve">Standard Stcok Solution Preapration </t>
  </si>
  <si>
    <t xml:space="preserve">Name </t>
  </si>
  <si>
    <t xml:space="preserve">Weight in mg </t>
  </si>
  <si>
    <t>Dilution (*mL)</t>
  </si>
  <si>
    <t>Dilution (**mL)</t>
  </si>
  <si>
    <t>Sample Preparation</t>
  </si>
  <si>
    <t>Amphotericin B USPRS</t>
  </si>
  <si>
    <t>S1</t>
  </si>
  <si>
    <t>S2</t>
  </si>
  <si>
    <t>S3</t>
  </si>
  <si>
    <t>S4</t>
  </si>
  <si>
    <t>S5</t>
  </si>
  <si>
    <t>Concentration(µg/mL)</t>
  </si>
  <si>
    <t>Concentration (µg/mL)</t>
  </si>
  <si>
    <t xml:space="preserve">Standard Name </t>
  </si>
  <si>
    <t>Log Concentration</t>
  </si>
  <si>
    <t>Plates</t>
  </si>
  <si>
    <t>Zone 2</t>
  </si>
  <si>
    <t>Zone 4</t>
  </si>
  <si>
    <t>Zone 6</t>
  </si>
  <si>
    <t xml:space="preserve">Average </t>
  </si>
  <si>
    <t>% RSD</t>
  </si>
  <si>
    <t>Reference zone (Reading in mm)</t>
  </si>
  <si>
    <t>Sample Zone (Reading in mm)</t>
  </si>
  <si>
    <t>Zone 1</t>
  </si>
  <si>
    <t>Zone 3</t>
  </si>
  <si>
    <t>Zone 5</t>
  </si>
  <si>
    <t>S3 (Refernce)</t>
  </si>
  <si>
    <t>Average</t>
  </si>
  <si>
    <t>NA</t>
  </si>
  <si>
    <t>Corrected Mean</t>
  </si>
  <si>
    <t>Std. Name</t>
  </si>
  <si>
    <t>Sample Reading</t>
  </si>
  <si>
    <t>Sample Batch No.</t>
  </si>
  <si>
    <t>Corrected Mean (U)</t>
  </si>
  <si>
    <t>Sample Preparation -1 : Results</t>
  </si>
  <si>
    <t xml:space="preserve">Sample Detatils </t>
  </si>
  <si>
    <t>Slope</t>
  </si>
  <si>
    <t>Intercept</t>
  </si>
  <si>
    <t>Corrected Average</t>
  </si>
  <si>
    <t>Log concentration of Sample</t>
  </si>
  <si>
    <t>Assay(%)</t>
  </si>
  <si>
    <t>Checked By :</t>
  </si>
  <si>
    <t>Analyzed By :</t>
  </si>
  <si>
    <t xml:space="preserve">Corrected Zone Diameter </t>
  </si>
  <si>
    <t>Dilution(*mL)</t>
  </si>
  <si>
    <t>Sample Taken (*mL)</t>
  </si>
  <si>
    <t>Volume taken (mL)</t>
  </si>
  <si>
    <r>
      <t>Where, RSD : NMT 10 % , R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= NLT 95 %</t>
    </r>
  </si>
  <si>
    <t>Amphotericin B USP RS</t>
  </si>
  <si>
    <t>Amphotericin B API</t>
  </si>
  <si>
    <t>Where, * =Dimethyl sulphoxide, ** = Buffer solution pH 10.5</t>
  </si>
  <si>
    <t>2 to 8°C (Protect from light)</t>
  </si>
  <si>
    <t>Concentration (µg/mg)</t>
  </si>
  <si>
    <t>SD</t>
  </si>
  <si>
    <t>%RSD</t>
  </si>
  <si>
    <t>Amphotericin B API (Set-1)</t>
  </si>
  <si>
    <t>Amphotericin B API (Set-2)</t>
  </si>
  <si>
    <t>Amphotericin B API (Set-3)</t>
  </si>
  <si>
    <t>R087G0</t>
  </si>
  <si>
    <t>HAN1711203U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</si>
</sst>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164" fontId="1" fillId="0" borderId="1" xfId="0" applyNumberFormat="1" applyFont="1" applyBorder="1" applyAlignment="1">
      <alignment horizontal="center"/>
    </xf>
    <xf numFmtId="0" fontId="7" fillId="0" borderId="0" xfId="0" applyFont="1" applyBorder="1" applyAlignment="1" applyProtection="1">
      <alignment horizontal="center"/>
    </xf>
    <xf numFmtId="0" fontId="7" fillId="0" borderId="0" xfId="0" applyFont="1" applyProtection="1"/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0" fontId="6" fillId="3" borderId="1" xfId="0" applyFont="1" applyFill="1" applyBorder="1" applyProtection="1"/>
    <xf numFmtId="0" fontId="6" fillId="3" borderId="5" xfId="0" applyFont="1" applyFill="1" applyBorder="1" applyProtection="1"/>
    <xf numFmtId="0" fontId="6" fillId="3" borderId="7" xfId="0" applyFont="1" applyFill="1" applyBorder="1" applyProtection="1"/>
    <xf numFmtId="0" fontId="3" fillId="0" borderId="0" xfId="0" applyFont="1" applyProtection="1"/>
    <xf numFmtId="0" fontId="0" fillId="0" borderId="0" xfId="0" applyFont="1" applyProtection="1"/>
    <xf numFmtId="16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wrapText="1" shrinkToFit="1"/>
    </xf>
    <xf numFmtId="0" fontId="2" fillId="0" borderId="0" xfId="0" applyFont="1" applyBorder="1" applyAlignment="1" applyProtection="1">
      <alignment horizontal="center" vertical="top"/>
    </xf>
    <xf numFmtId="0" fontId="3" fillId="0" borderId="1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center" vertical="top"/>
    </xf>
    <xf numFmtId="0" fontId="3" fillId="0" borderId="20" xfId="0" applyFont="1" applyBorder="1" applyAlignment="1" applyProtection="1">
      <alignment horizontal="center" vertical="top"/>
    </xf>
    <xf numFmtId="0" fontId="3" fillId="0" borderId="1" xfId="0" applyFont="1" applyBorder="1" applyProtection="1"/>
    <xf numFmtId="0" fontId="2" fillId="0" borderId="1" xfId="0" applyFont="1" applyBorder="1" applyProtection="1"/>
    <xf numFmtId="0" fontId="2" fillId="0" borderId="5" xfId="0" applyFont="1" applyBorder="1" applyAlignment="1" applyProtection="1">
      <alignment horizontal="center" vertical="top"/>
    </xf>
    <xf numFmtId="0" fontId="2" fillId="0" borderId="18" xfId="0" applyFont="1" applyBorder="1" applyAlignment="1" applyProtection="1">
      <alignment horizontal="center" vertical="top"/>
    </xf>
    <xf numFmtId="2" fontId="3" fillId="0" borderId="5" xfId="0" applyNumberFormat="1" applyFont="1" applyBorder="1" applyAlignment="1" applyProtection="1">
      <alignment horizontal="center" vertical="top"/>
    </xf>
    <xf numFmtId="2" fontId="3" fillId="0" borderId="10" xfId="0" applyNumberFormat="1" applyFont="1" applyBorder="1" applyAlignment="1" applyProtection="1">
      <alignment horizontal="center" vertical="top"/>
    </xf>
    <xf numFmtId="2" fontId="3" fillId="0" borderId="13" xfId="0" applyNumberFormat="1" applyFont="1" applyBorder="1" applyAlignment="1" applyProtection="1">
      <alignment horizontal="center" vertical="top"/>
    </xf>
    <xf numFmtId="0" fontId="3" fillId="0" borderId="12" xfId="0" applyFont="1" applyBorder="1" applyAlignment="1" applyProtection="1">
      <alignment horizontal="center" vertical="top" wrapText="1"/>
    </xf>
    <xf numFmtId="0" fontId="3" fillId="0" borderId="7" xfId="0" applyFont="1" applyBorder="1" applyAlignment="1" applyProtection="1">
      <alignment horizontal="center" vertical="top" wrapText="1"/>
    </xf>
    <xf numFmtId="2" fontId="3" fillId="0" borderId="2" xfId="0" applyNumberFormat="1" applyFont="1" applyBorder="1" applyAlignment="1" applyProtection="1">
      <alignment horizontal="center" vertical="top"/>
    </xf>
    <xf numFmtId="2" fontId="3" fillId="0" borderId="1" xfId="0" applyNumberFormat="1" applyFont="1" applyBorder="1" applyAlignment="1" applyProtection="1">
      <alignment horizontal="center" vertical="top"/>
    </xf>
    <xf numFmtId="2" fontId="3" fillId="0" borderId="4" xfId="0" applyNumberFormat="1" applyFont="1" applyBorder="1" applyAlignment="1" applyProtection="1">
      <alignment horizontal="center" vertical="top"/>
    </xf>
    <xf numFmtId="0" fontId="3" fillId="0" borderId="10" xfId="0" applyFont="1" applyBorder="1" applyAlignment="1" applyProtection="1">
      <alignment horizontal="center" vertical="top" wrapText="1"/>
    </xf>
    <xf numFmtId="0" fontId="1" fillId="0" borderId="0" xfId="0" applyFont="1" applyProtection="1"/>
    <xf numFmtId="0" fontId="1" fillId="0" borderId="1" xfId="0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0" borderId="0" xfId="0" applyFont="1" applyBorder="1" applyAlignment="1" applyProtection="1">
      <alignment horizontal="left" vertical="top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</xf>
    <xf numFmtId="164" fontId="1" fillId="0" borderId="0" xfId="0" applyNumberFormat="1" applyFont="1" applyBorder="1" applyAlignment="1" applyProtection="1">
      <alignment horizontal="center"/>
    </xf>
    <xf numFmtId="0" fontId="0" fillId="0" borderId="0" xfId="0" applyProtection="1"/>
    <xf numFmtId="164" fontId="1" fillId="0" borderId="1" xfId="0" quotePrefix="1" applyNumberFormat="1" applyFont="1" applyBorder="1" applyAlignment="1">
      <alignment horizontal="center"/>
    </xf>
    <xf numFmtId="0" fontId="1" fillId="0" borderId="0" xfId="0" applyFont="1" applyAlignment="1" applyProtection="1">
      <alignment horizontal="center"/>
    </xf>
    <xf numFmtId="0" fontId="1" fillId="0" borderId="2" xfId="0" applyFont="1" applyBorder="1" applyAlignment="1" applyProtection="1">
      <alignment horizontal="left"/>
    </xf>
    <xf numFmtId="0" fontId="1" fillId="0" borderId="4" xfId="0" applyFont="1" applyBorder="1" applyAlignment="1" applyProtection="1">
      <alignment horizontal="left"/>
    </xf>
    <xf numFmtId="0" fontId="3" fillId="0" borderId="10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11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top" wrapText="1"/>
    </xf>
    <xf numFmtId="0" fontId="3" fillId="0" borderId="4" xfId="0" applyFont="1" applyBorder="1" applyAlignment="1" applyProtection="1">
      <alignment horizontal="left" vertical="top" wrapText="1"/>
    </xf>
    <xf numFmtId="164" fontId="3" fillId="0" borderId="10" xfId="0" applyNumberFormat="1" applyFont="1" applyBorder="1" applyAlignment="1" applyProtection="1">
      <alignment horizontal="center" vertical="center"/>
    </xf>
    <xf numFmtId="164" fontId="3" fillId="0" borderId="6" xfId="0" applyNumberFormat="1" applyFont="1" applyBorder="1" applyAlignment="1" applyProtection="1">
      <alignment horizontal="center" vertical="center"/>
    </xf>
    <xf numFmtId="164" fontId="3" fillId="0" borderId="11" xfId="0" applyNumberFormat="1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horizontal="left" vertical="top"/>
    </xf>
    <xf numFmtId="0" fontId="1" fillId="0" borderId="4" xfId="0" applyFont="1" applyBorder="1" applyAlignment="1" applyProtection="1">
      <alignment horizontal="left" vertical="top"/>
    </xf>
    <xf numFmtId="0" fontId="3" fillId="0" borderId="2" xfId="0" applyFont="1" applyBorder="1" applyAlignment="1" applyProtection="1">
      <alignment horizontal="left" wrapText="1"/>
    </xf>
    <xf numFmtId="0" fontId="3" fillId="0" borderId="3" xfId="0" applyFont="1" applyBorder="1" applyAlignment="1" applyProtection="1">
      <alignment horizontal="left" wrapText="1"/>
    </xf>
    <xf numFmtId="0" fontId="3" fillId="0" borderId="4" xfId="0" applyFont="1" applyBorder="1" applyAlignment="1" applyProtection="1">
      <alignment horizontal="left" wrapText="1"/>
    </xf>
    <xf numFmtId="0" fontId="3" fillId="0" borderId="10" xfId="0" applyFont="1" applyBorder="1" applyAlignment="1" applyProtection="1">
      <alignment horizontal="center" vertical="top"/>
    </xf>
    <xf numFmtId="0" fontId="3" fillId="0" borderId="6" xfId="0" applyFont="1" applyBorder="1" applyAlignment="1" applyProtection="1">
      <alignment horizontal="center" vertical="top"/>
    </xf>
    <xf numFmtId="0" fontId="3" fillId="0" borderId="11" xfId="0" applyFont="1" applyBorder="1" applyAlignment="1" applyProtection="1">
      <alignment horizontal="center" vertical="top"/>
    </xf>
    <xf numFmtId="0" fontId="3" fillId="0" borderId="7" xfId="0" applyFont="1" applyBorder="1" applyAlignment="1" applyProtection="1">
      <alignment horizontal="right"/>
    </xf>
    <xf numFmtId="0" fontId="3" fillId="0" borderId="3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10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left" vertical="top"/>
    </xf>
    <xf numFmtId="0" fontId="3" fillId="0" borderId="10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2" xfId="0" applyFont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6" fillId="3" borderId="7" xfId="0" applyFont="1" applyFill="1" applyBorder="1" applyAlignment="1" applyProtection="1">
      <alignment horizontal="center"/>
    </xf>
    <xf numFmtId="0" fontId="6" fillId="3" borderId="8" xfId="0" applyFont="1" applyFill="1" applyBorder="1" applyAlignment="1" applyProtection="1">
      <alignment horizontal="center"/>
    </xf>
    <xf numFmtId="0" fontId="6" fillId="3" borderId="9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6" fillId="3" borderId="4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left"/>
    </xf>
    <xf numFmtId="166" fontId="6" fillId="0" borderId="3" xfId="0" applyNumberFormat="1" applyFont="1" applyBorder="1" applyAlignment="1" applyProtection="1">
      <alignment horizontal="left"/>
    </xf>
    <xf numFmtId="166" fontId="6" fillId="0" borderId="4" xfId="0" applyNumberFormat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6" fillId="0" borderId="3" xfId="0" applyFont="1" applyBorder="1" applyAlignment="1" applyProtection="1">
      <alignment horizontal="left"/>
    </xf>
    <xf numFmtId="0" fontId="6" fillId="0" borderId="4" xfId="0" applyFont="1" applyBorder="1" applyAlignment="1" applyProtection="1">
      <alignment horizontal="left"/>
    </xf>
    <xf numFmtId="0" fontId="3" fillId="0" borderId="10" xfId="0" applyFont="1" applyFill="1" applyBorder="1" applyAlignment="1" applyProtection="1">
      <alignment horizontal="center" vertical="top" wrapText="1"/>
    </xf>
    <xf numFmtId="0" fontId="3" fillId="0" borderId="10" xfId="0" applyFont="1" applyFill="1" applyBorder="1" applyAlignment="1" applyProtection="1">
      <alignment horizontal="center" vertical="top"/>
    </xf>
    <xf numFmtId="0" fontId="3" fillId="0" borderId="2" xfId="0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4" xfId="0" applyFont="1" applyFill="1" applyBorder="1" applyAlignment="1" applyProtection="1">
      <alignment horizontal="center"/>
    </xf>
    <xf numFmtId="0" fontId="3" fillId="0" borderId="11" xfId="0" applyFont="1" applyFill="1" applyBorder="1" applyAlignment="1" applyProtection="1">
      <alignment horizontal="center" vertical="top" wrapText="1"/>
    </xf>
    <xf numFmtId="0" fontId="3" fillId="0" borderId="6" xfId="0" applyFont="1" applyFill="1" applyBorder="1" applyAlignment="1" applyProtection="1">
      <alignment horizontal="center" vertical="top"/>
    </xf>
    <xf numFmtId="0" fontId="3" fillId="0" borderId="1" xfId="0" applyFont="1" applyFill="1" applyBorder="1" applyAlignment="1" applyProtection="1">
      <alignment horizontal="center" vertical="top"/>
    </xf>
    <xf numFmtId="0" fontId="3" fillId="0" borderId="1" xfId="0" applyFont="1" applyFill="1" applyBorder="1" applyAlignment="1" applyProtection="1">
      <alignment horizontal="center" vertical="top" wrapText="1"/>
    </xf>
    <xf numFmtId="164" fontId="3" fillId="0" borderId="5" xfId="0" applyNumberFormat="1" applyFont="1" applyFill="1" applyBorder="1" applyAlignment="1" applyProtection="1">
      <alignment horizontal="center" vertical="top"/>
    </xf>
    <xf numFmtId="0" fontId="3" fillId="0" borderId="18" xfId="0" applyFont="1" applyFill="1" applyBorder="1" applyAlignment="1" applyProtection="1">
      <alignment horizontal="center" vertical="top"/>
    </xf>
    <xf numFmtId="2" fontId="5" fillId="0" borderId="28" xfId="0" applyNumberFormat="1" applyFont="1" applyFill="1" applyBorder="1" applyAlignment="1" applyProtection="1">
      <alignment horizontal="center" vertical="center"/>
    </xf>
    <xf numFmtId="2" fontId="5" fillId="0" borderId="18" xfId="0" applyNumberFormat="1" applyFont="1" applyFill="1" applyBorder="1" applyAlignment="1" applyProtection="1">
      <alignment horizontal="center" vertical="center"/>
    </xf>
    <xf numFmtId="2" fontId="5" fillId="0" borderId="22" xfId="0" applyNumberFormat="1" applyFont="1" applyFill="1" applyBorder="1" applyAlignment="1" applyProtection="1">
      <alignment horizontal="center" vertical="center"/>
    </xf>
    <xf numFmtId="164" fontId="3" fillId="0" borderId="10" xfId="0" applyNumberFormat="1" applyFont="1" applyFill="1" applyBorder="1" applyAlignment="1" applyProtection="1">
      <alignment horizontal="center" vertical="center"/>
    </xf>
    <xf numFmtId="2" fontId="5" fillId="0" borderId="21" xfId="0" applyNumberFormat="1" applyFont="1" applyFill="1" applyBorder="1" applyAlignment="1" applyProtection="1">
      <alignment horizontal="center"/>
    </xf>
    <xf numFmtId="2" fontId="5" fillId="0" borderId="18" xfId="0" applyNumberFormat="1" applyFont="1" applyFill="1" applyBorder="1" applyAlignment="1" applyProtection="1">
      <alignment horizontal="center"/>
    </xf>
    <xf numFmtId="2" fontId="5" fillId="0" borderId="22" xfId="0" applyNumberFormat="1" applyFont="1" applyFill="1" applyBorder="1" applyAlignment="1" applyProtection="1">
      <alignment horizontal="center"/>
    </xf>
    <xf numFmtId="164" fontId="3" fillId="0" borderId="12" xfId="0" applyNumberFormat="1" applyFont="1" applyFill="1" applyBorder="1" applyAlignment="1" applyProtection="1">
      <alignment horizontal="center" vertical="top"/>
    </xf>
    <xf numFmtId="0" fontId="3" fillId="0" borderId="19" xfId="0" applyFont="1" applyFill="1" applyBorder="1" applyAlignment="1" applyProtection="1">
      <alignment horizontal="center" vertical="top"/>
    </xf>
    <xf numFmtId="2" fontId="5" fillId="0" borderId="29" xfId="0" applyNumberFormat="1" applyFont="1" applyFill="1" applyBorder="1" applyAlignment="1" applyProtection="1">
      <alignment horizontal="center" vertical="center"/>
    </xf>
    <xf numFmtId="2" fontId="5" fillId="0" borderId="19" xfId="0" applyNumberFormat="1" applyFont="1" applyFill="1" applyBorder="1" applyAlignment="1" applyProtection="1">
      <alignment horizontal="center" vertical="center"/>
    </xf>
    <xf numFmtId="2" fontId="5" fillId="0" borderId="16" xfId="0" applyNumberFormat="1" applyFont="1" applyFill="1" applyBorder="1" applyAlignment="1" applyProtection="1">
      <alignment horizontal="center" vertical="center"/>
    </xf>
    <xf numFmtId="164" fontId="3" fillId="0" borderId="6" xfId="0" applyNumberFormat="1" applyFont="1" applyFill="1" applyBorder="1" applyAlignment="1" applyProtection="1">
      <alignment horizontal="center" vertical="center"/>
    </xf>
    <xf numFmtId="2" fontId="5" fillId="0" borderId="14" xfId="0" applyNumberFormat="1" applyFont="1" applyFill="1" applyBorder="1" applyAlignment="1" applyProtection="1">
      <alignment horizontal="center"/>
    </xf>
    <xf numFmtId="2" fontId="5" fillId="0" borderId="19" xfId="0" applyNumberFormat="1" applyFont="1" applyFill="1" applyBorder="1" applyAlignment="1" applyProtection="1">
      <alignment horizontal="center"/>
    </xf>
    <xf numFmtId="2" fontId="5" fillId="0" borderId="16" xfId="0" applyNumberFormat="1" applyFont="1" applyFill="1" applyBorder="1" applyAlignment="1" applyProtection="1">
      <alignment horizontal="center"/>
    </xf>
    <xf numFmtId="164" fontId="3" fillId="0" borderId="7" xfId="0" applyNumberFormat="1" applyFont="1" applyFill="1" applyBorder="1" applyAlignment="1" applyProtection="1">
      <alignment horizontal="center" vertical="top"/>
    </xf>
    <xf numFmtId="0" fontId="3" fillId="0" borderId="20" xfId="0" applyFont="1" applyFill="1" applyBorder="1" applyAlignment="1" applyProtection="1">
      <alignment horizontal="center" vertical="top"/>
    </xf>
    <xf numFmtId="2" fontId="5" fillId="0" borderId="30" xfId="0" applyNumberFormat="1" applyFont="1" applyFill="1" applyBorder="1" applyAlignment="1" applyProtection="1">
      <alignment horizontal="center" vertical="center"/>
    </xf>
    <xf numFmtId="2" fontId="5" fillId="0" borderId="20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Fill="1" applyBorder="1" applyAlignment="1" applyProtection="1">
      <alignment horizontal="center" vertical="center"/>
    </xf>
    <xf numFmtId="164" fontId="3" fillId="0" borderId="11" xfId="0" applyNumberFormat="1" applyFont="1" applyFill="1" applyBorder="1" applyAlignment="1" applyProtection="1">
      <alignment horizontal="center" vertical="center"/>
    </xf>
    <xf numFmtId="2" fontId="5" fillId="0" borderId="15" xfId="0" applyNumberFormat="1" applyFont="1" applyFill="1" applyBorder="1" applyAlignment="1" applyProtection="1">
      <alignment horizontal="center"/>
    </xf>
    <xf numFmtId="2" fontId="5" fillId="0" borderId="20" xfId="0" applyNumberFormat="1" applyFont="1" applyFill="1" applyBorder="1" applyAlignment="1" applyProtection="1">
      <alignment horizontal="center"/>
    </xf>
    <xf numFmtId="2" fontId="5" fillId="0" borderId="17" xfId="0" applyNumberFormat="1" applyFont="1" applyFill="1" applyBorder="1" applyAlignment="1" applyProtection="1">
      <alignment horizontal="center"/>
    </xf>
    <xf numFmtId="2" fontId="5" fillId="0" borderId="31" xfId="0" applyNumberFormat="1" applyFont="1" applyFill="1" applyBorder="1" applyAlignment="1" applyProtection="1">
      <alignment horizontal="center" vertical="center"/>
    </xf>
    <xf numFmtId="2" fontId="5" fillId="0" borderId="23" xfId="0" applyNumberFormat="1" applyFont="1" applyFill="1" applyBorder="1" applyAlignment="1" applyProtection="1">
      <alignment horizontal="center" vertical="center"/>
    </xf>
    <xf numFmtId="2" fontId="5" fillId="0" borderId="26" xfId="0" applyNumberFormat="1" applyFont="1" applyFill="1" applyBorder="1" applyAlignment="1" applyProtection="1">
      <alignment horizontal="center" vertical="center"/>
    </xf>
    <xf numFmtId="2" fontId="5" fillId="0" borderId="24" xfId="0" applyNumberFormat="1" applyFont="1" applyFill="1" applyBorder="1" applyAlignment="1" applyProtection="1">
      <alignment horizontal="center"/>
    </xf>
    <xf numFmtId="2" fontId="5" fillId="0" borderId="23" xfId="0" applyNumberFormat="1" applyFont="1" applyFill="1" applyBorder="1" applyAlignment="1" applyProtection="1">
      <alignment horizontal="center"/>
    </xf>
    <xf numFmtId="2" fontId="5" fillId="0" borderId="26" xfId="0" applyNumberFormat="1" applyFont="1" applyFill="1" applyBorder="1" applyAlignment="1" applyProtection="1">
      <alignment horizontal="center"/>
    </xf>
    <xf numFmtId="2" fontId="5" fillId="0" borderId="27" xfId="0" applyNumberFormat="1" applyFont="1" applyFill="1" applyBorder="1" applyAlignment="1" applyProtection="1">
      <alignment horizontal="center" vertical="center"/>
    </xf>
    <xf numFmtId="2" fontId="5" fillId="0" borderId="25" xfId="0" applyNumberFormat="1" applyFont="1" applyFill="1" applyBorder="1" applyAlignment="1" applyProtection="1">
      <alignment horizontal="center"/>
    </xf>
    <xf numFmtId="2" fontId="5" fillId="0" borderId="27" xfId="0" applyNumberFormat="1" applyFont="1" applyFill="1" applyBorder="1" applyAlignment="1" applyProtection="1">
      <alignment horizontal="center"/>
    </xf>
    <xf numFmtId="0" fontId="2" fillId="0" borderId="0" xfId="0" applyFont="1" applyFill="1" applyProtection="1"/>
    <xf numFmtId="0" fontId="3" fillId="0" borderId="2" xfId="0" applyFont="1" applyFill="1" applyBorder="1" applyAlignment="1" applyProtection="1">
      <alignment horizontal="left"/>
    </xf>
    <xf numFmtId="0" fontId="3" fillId="0" borderId="3" xfId="0" applyFont="1" applyFill="1" applyBorder="1" applyAlignment="1" applyProtection="1">
      <alignment horizontal="left"/>
    </xf>
    <xf numFmtId="0" fontId="3" fillId="0" borderId="4" xfId="0" applyFont="1" applyFill="1" applyBorder="1" applyAlignment="1" applyProtection="1">
      <alignment horizontal="left"/>
    </xf>
    <xf numFmtId="0" fontId="3" fillId="0" borderId="0" xfId="0" applyFont="1" applyFill="1" applyProtection="1"/>
    <xf numFmtId="0" fontId="3" fillId="0" borderId="1" xfId="0" applyFont="1" applyFill="1" applyBorder="1" applyAlignment="1" applyProtection="1">
      <alignment vertical="top"/>
    </xf>
    <xf numFmtId="0" fontId="3" fillId="0" borderId="1" xfId="0" applyFont="1" applyFill="1" applyBorder="1" applyAlignment="1" applyProtection="1">
      <alignment vertical="top" wrapText="1"/>
    </xf>
    <xf numFmtId="0" fontId="3" fillId="0" borderId="10" xfId="0" applyFont="1" applyFill="1" applyBorder="1" applyAlignment="1" applyProtection="1">
      <alignment horizontal="left" vertical="top" wrapText="1"/>
    </xf>
    <xf numFmtId="165" fontId="3" fillId="0" borderId="10" xfId="0" applyNumberFormat="1" applyFont="1" applyFill="1" applyBorder="1" applyAlignment="1" applyProtection="1">
      <alignment horizontal="center" vertical="top"/>
    </xf>
    <xf numFmtId="165" fontId="3" fillId="0" borderId="1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2" fontId="3" fillId="0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Fill="1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left" vertical="top" wrapText="1"/>
    </xf>
    <xf numFmtId="165" fontId="3" fillId="0" borderId="6" xfId="0" applyNumberFormat="1" applyFont="1" applyFill="1" applyBorder="1" applyAlignment="1" applyProtection="1">
      <alignment horizontal="center" vertical="top"/>
    </xf>
    <xf numFmtId="0" fontId="3" fillId="0" borderId="11" xfId="0" applyFont="1" applyFill="1" applyBorder="1" applyAlignment="1" applyProtection="1">
      <alignment horizontal="left" vertical="top" wrapText="1"/>
    </xf>
    <xf numFmtId="165" fontId="3" fillId="0" borderId="11" xfId="0" applyNumberFormat="1" applyFont="1" applyFill="1" applyBorder="1" applyAlignment="1" applyProtection="1">
      <alignment horizontal="center" vertical="top"/>
    </xf>
    <xf numFmtId="0" fontId="3" fillId="0" borderId="11" xfId="0" applyFont="1" applyFill="1" applyBorder="1" applyAlignment="1" applyProtection="1">
      <alignment horizontal="center" vertical="top"/>
    </xf>
    <xf numFmtId="0" fontId="3" fillId="0" borderId="2" xfId="0" applyFont="1" applyFill="1" applyBorder="1" applyAlignment="1" applyProtection="1">
      <alignment horizontal="left" vertical="top" wrapText="1"/>
    </xf>
    <xf numFmtId="0" fontId="3" fillId="0" borderId="3" xfId="0" applyFont="1" applyFill="1" applyBorder="1" applyAlignment="1" applyProtection="1">
      <alignment horizontal="left" vertical="top" wrapText="1"/>
    </xf>
    <xf numFmtId="0" fontId="3" fillId="0" borderId="4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vertical="center" wrapText="1" shrinkToFit="1"/>
    </xf>
    <xf numFmtId="0" fontId="3" fillId="0" borderId="1" xfId="0" applyFont="1" applyFill="1" applyBorder="1" applyAlignment="1" applyProtection="1">
      <alignment horizontal="center" vertical="center"/>
    </xf>
    <xf numFmtId="165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wrapText="1" shrinkToFit="1"/>
    </xf>
    <xf numFmtId="0" fontId="2" fillId="0" borderId="0" xfId="0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US" sz="1200" b="1" i="0" baseline="0">
                <a:latin typeface="Arial" panose="020B0604020202020204" pitchFamily="34" charset="0"/>
              </a:rPr>
              <a:t>Standard Concentration Curve </a:t>
            </a:r>
          </a:p>
        </c:rich>
      </c:tx>
      <c:layout>
        <c:manualLayout>
          <c:xMode val="edge"/>
          <c:yMode val="edge"/>
          <c:x val="0.40947010489668179"/>
          <c:y val="7.08003192390919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82511484893222"/>
          <c:y val="0.17608899201079489"/>
          <c:w val="0.85598611014331172"/>
          <c:h val="0.63062449090415418"/>
        </c:manualLayout>
      </c:layout>
      <c:scatterChart>
        <c:scatterStyle val="lineMarker"/>
        <c:varyColors val="0"/>
        <c:ser>
          <c:idx val="0"/>
          <c:order val="0"/>
          <c:tx>
            <c:v>Standard Concentration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336350426402554E-2"/>
                  <c:y val="9.6694888060622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Sheet2!$D$5:$D$9</c:f>
              <c:numCache>
                <c:formatCode>General</c:formatCode>
                <c:ptCount val="5"/>
                <c:pt idx="0">
                  <c:v>-0.44619999999999999</c:v>
                </c:pt>
                <c:pt idx="1">
                  <c:v>-0.22239999999999999</c:v>
                </c:pt>
                <c:pt idx="2">
                  <c:v>-1E-3</c:v>
                </c:pt>
                <c:pt idx="3">
                  <c:v>0.22359999999999999</c:v>
                </c:pt>
                <c:pt idx="4">
                  <c:v>0.44469999999999998</c:v>
                </c:pt>
              </c:numCache>
            </c:numRef>
          </c:xVal>
          <c:yVal>
            <c:numRef>
              <c:f>Sheet2!$E$5:$E$10</c:f>
              <c:numCache>
                <c:formatCode>0.0000</c:formatCode>
                <c:ptCount val="6"/>
                <c:pt idx="0">
                  <c:v>13.530555555555557</c:v>
                </c:pt>
                <c:pt idx="1">
                  <c:v>14.310555555555556</c:v>
                </c:pt>
                <c:pt idx="2">
                  <c:v>14.442777777777778</c:v>
                </c:pt>
                <c:pt idx="3">
                  <c:v>15.157222222222224</c:v>
                </c:pt>
                <c:pt idx="4">
                  <c:v>15.953888888888885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1F-4F97-A88E-48622EBD93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3483344"/>
        <c:axId val="183405880"/>
      </c:scatterChart>
      <c:valAx>
        <c:axId val="183483344"/>
        <c:scaling>
          <c:orientation val="minMax"/>
          <c:min val="-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IN" sz="1100" b="1" i="0" baseline="0">
                    <a:latin typeface="Arial" panose="020B0604020202020204" pitchFamily="34" charset="0"/>
                  </a:rPr>
                  <a:t>Log Concentration </a:t>
                </a:r>
              </a:p>
            </c:rich>
          </c:tx>
          <c:layout>
            <c:manualLayout>
              <c:xMode val="edge"/>
              <c:yMode val="edge"/>
              <c:x val="0.42811824099144352"/>
              <c:y val="0.896999728482215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3405880"/>
        <c:crosses val="autoZero"/>
        <c:crossBetween val="midCat"/>
      </c:valAx>
      <c:valAx>
        <c:axId val="183405880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IN" sz="1100" b="1" i="0" baseline="0">
                    <a:latin typeface="Arial" panose="020B0604020202020204" pitchFamily="34" charset="0"/>
                  </a:rPr>
                  <a:t>Average Reading</a:t>
                </a:r>
              </a:p>
            </c:rich>
          </c:tx>
          <c:layout>
            <c:manualLayout>
              <c:xMode val="edge"/>
              <c:yMode val="edge"/>
              <c:x val="2.6954886599024556E-2"/>
              <c:y val="0.257047097211499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3483344"/>
        <c:crossesAt val="-0.60000000000000009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22</xdr:row>
      <xdr:rowOff>85725</xdr:rowOff>
    </xdr:from>
    <xdr:to>
      <xdr:col>10</xdr:col>
      <xdr:colOff>537882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8"/>
  <sheetViews>
    <sheetView tabSelected="1" topLeftCell="A52" zoomScale="85" zoomScaleNormal="85" workbookViewId="0">
      <selection activeCell="N14" sqref="N14"/>
    </sheetView>
  </sheetViews>
  <sheetFormatPr defaultRowHeight="15" x14ac:dyDescent="0.25"/>
  <cols>
    <col min="1" max="1" width="27" customWidth="1"/>
    <col min="2" max="2" width="15.140625" customWidth="1"/>
    <col min="3" max="3" width="10" customWidth="1"/>
    <col min="4" max="4" width="13.28515625" customWidth="1"/>
    <col min="5" max="5" width="11.140625" customWidth="1"/>
    <col min="6" max="6" width="14.7109375" customWidth="1"/>
    <col min="7" max="7" width="15.42578125" customWidth="1"/>
    <col min="8" max="8" width="10.5703125" customWidth="1"/>
    <col min="9" max="9" width="14.5703125" customWidth="1"/>
    <col min="10" max="10" width="13.42578125" customWidth="1"/>
    <col min="11" max="11" width="14.28515625" customWidth="1"/>
    <col min="12" max="12" width="15.28515625" customWidth="1"/>
    <col min="13" max="13" width="11.7109375" customWidth="1"/>
    <col min="14" max="14" width="14.140625" customWidth="1"/>
  </cols>
  <sheetData>
    <row r="1" spans="1:15" ht="3.75" customHeight="1" thickBot="1" x14ac:dyDescent="0.3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80"/>
    </row>
    <row r="2" spans="1:15" ht="15" customHeight="1" thickBot="1" x14ac:dyDescent="0.3">
      <c r="A2" s="81" t="s">
        <v>4</v>
      </c>
      <c r="B2" s="82"/>
      <c r="C2" s="82"/>
      <c r="D2" s="82"/>
      <c r="E2" s="83"/>
      <c r="F2" s="5"/>
      <c r="G2" s="84" t="s">
        <v>5</v>
      </c>
      <c r="H2" s="85"/>
      <c r="I2" s="85"/>
      <c r="J2" s="86"/>
      <c r="K2" s="6"/>
      <c r="L2" s="7"/>
      <c r="M2" s="7"/>
      <c r="N2" s="8"/>
      <c r="O2" s="1"/>
    </row>
    <row r="3" spans="1:15" ht="16.5" thickBot="1" x14ac:dyDescent="0.3">
      <c r="A3" s="9" t="s">
        <v>0</v>
      </c>
      <c r="B3" s="87"/>
      <c r="C3" s="88"/>
      <c r="D3" s="88"/>
      <c r="E3" s="89"/>
      <c r="F3" s="5"/>
      <c r="G3" s="10" t="s">
        <v>6</v>
      </c>
      <c r="H3" s="90" t="s">
        <v>59</v>
      </c>
      <c r="I3" s="91"/>
      <c r="J3" s="92"/>
      <c r="K3" s="6"/>
      <c r="L3" s="7"/>
      <c r="M3" s="7"/>
      <c r="N3" s="7"/>
    </row>
    <row r="4" spans="1:15" ht="16.5" thickBot="1" x14ac:dyDescent="0.3">
      <c r="A4" s="9" t="s">
        <v>1</v>
      </c>
      <c r="B4" s="90" t="s">
        <v>60</v>
      </c>
      <c r="C4" s="91"/>
      <c r="D4" s="91"/>
      <c r="E4" s="92"/>
      <c r="F4" s="5"/>
      <c r="G4" s="9" t="s">
        <v>7</v>
      </c>
      <c r="H4" s="90" t="s">
        <v>69</v>
      </c>
      <c r="I4" s="91"/>
      <c r="J4" s="92"/>
      <c r="K4" s="6"/>
      <c r="L4" s="7"/>
      <c r="M4" s="7"/>
      <c r="N4" s="7"/>
    </row>
    <row r="5" spans="1:15" ht="16.5" thickBot="1" x14ac:dyDescent="0.3">
      <c r="A5" s="9" t="s">
        <v>2</v>
      </c>
      <c r="B5" s="90" t="s">
        <v>70</v>
      </c>
      <c r="C5" s="91"/>
      <c r="D5" s="91"/>
      <c r="E5" s="92"/>
      <c r="F5" s="5"/>
      <c r="G5" s="9" t="s">
        <v>8</v>
      </c>
      <c r="H5" s="90">
        <v>994</v>
      </c>
      <c r="I5" s="91"/>
      <c r="J5" s="92"/>
      <c r="K5" s="6"/>
      <c r="L5" s="7"/>
      <c r="M5" s="7"/>
      <c r="N5" s="7"/>
    </row>
    <row r="6" spans="1:15" ht="16.5" thickBot="1" x14ac:dyDescent="0.3">
      <c r="A6" s="9" t="s">
        <v>3</v>
      </c>
      <c r="B6" s="90" t="s">
        <v>62</v>
      </c>
      <c r="C6" s="91"/>
      <c r="D6" s="91"/>
      <c r="E6" s="92"/>
      <c r="F6" s="5"/>
      <c r="G6" s="11" t="s">
        <v>9</v>
      </c>
      <c r="H6" s="90" t="s">
        <v>39</v>
      </c>
      <c r="I6" s="91"/>
      <c r="J6" s="92"/>
      <c r="K6" s="6"/>
      <c r="L6" s="7"/>
      <c r="M6" s="7"/>
      <c r="N6" s="7"/>
    </row>
    <row r="7" spans="1:15" ht="15.75" x14ac:dyDescent="0.25">
      <c r="F7" s="5"/>
      <c r="G7" s="6"/>
      <c r="H7" s="6"/>
      <c r="I7" s="6"/>
      <c r="J7" s="6"/>
      <c r="K7" s="6"/>
      <c r="L7" s="7"/>
      <c r="M7" s="7"/>
      <c r="N7" s="7"/>
    </row>
    <row r="8" spans="1:15" ht="15.75" thickBot="1" x14ac:dyDescent="0.3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7"/>
      <c r="M8" s="7"/>
      <c r="N8" s="7"/>
    </row>
    <row r="9" spans="1:15" ht="15.75" thickBot="1" x14ac:dyDescent="0.3">
      <c r="A9" s="139" t="s">
        <v>10</v>
      </c>
      <c r="B9" s="140"/>
      <c r="C9" s="141"/>
      <c r="D9" s="142"/>
      <c r="E9" s="142"/>
      <c r="F9" s="142"/>
      <c r="G9" s="142"/>
      <c r="H9" s="142"/>
      <c r="I9" s="142"/>
      <c r="J9" s="138"/>
      <c r="K9" s="138"/>
      <c r="L9" s="7"/>
      <c r="M9" s="7"/>
      <c r="N9" s="7"/>
    </row>
    <row r="10" spans="1:15" ht="30" customHeight="1" thickBot="1" x14ac:dyDescent="0.3">
      <c r="A10" s="143" t="s">
        <v>11</v>
      </c>
      <c r="B10" s="144" t="s">
        <v>12</v>
      </c>
      <c r="C10" s="144" t="s">
        <v>13</v>
      </c>
      <c r="D10" s="144" t="s">
        <v>56</v>
      </c>
      <c r="E10" s="144" t="s">
        <v>55</v>
      </c>
      <c r="F10" s="144" t="s">
        <v>22</v>
      </c>
      <c r="G10" s="144" t="s">
        <v>57</v>
      </c>
      <c r="H10" s="144" t="s">
        <v>14</v>
      </c>
      <c r="I10" s="144" t="s">
        <v>23</v>
      </c>
      <c r="J10" s="144" t="s">
        <v>41</v>
      </c>
      <c r="K10" s="144" t="s">
        <v>25</v>
      </c>
      <c r="L10" s="13"/>
      <c r="M10" s="7"/>
      <c r="N10" s="7"/>
    </row>
    <row r="11" spans="1:15" ht="15.75" thickBot="1" x14ac:dyDescent="0.3">
      <c r="A11" s="145" t="s">
        <v>16</v>
      </c>
      <c r="B11" s="146">
        <v>10.050000000000001</v>
      </c>
      <c r="C11" s="94">
        <v>10</v>
      </c>
      <c r="D11" s="147">
        <v>0.64300000000000002</v>
      </c>
      <c r="E11" s="148">
        <v>50</v>
      </c>
      <c r="F11" s="147">
        <f>B11/C11*D11/E11*H5</f>
        <v>12.846754200000001</v>
      </c>
      <c r="G11" s="148">
        <v>1</v>
      </c>
      <c r="H11" s="148">
        <v>20</v>
      </c>
      <c r="I11" s="149">
        <f>(B11/C11*D11/E11*G11/H11*H5)</f>
        <v>0.64233771000000006</v>
      </c>
      <c r="J11" s="148" t="s">
        <v>17</v>
      </c>
      <c r="K11" s="150">
        <f>ROUND(LN(I11),4)</f>
        <v>-0.44259999999999999</v>
      </c>
      <c r="L11" s="13"/>
      <c r="M11" s="7"/>
      <c r="N11" s="7"/>
    </row>
    <row r="12" spans="1:15" ht="15.75" thickBot="1" x14ac:dyDescent="0.3">
      <c r="A12" s="151"/>
      <c r="B12" s="152"/>
      <c r="C12" s="99"/>
      <c r="D12" s="147">
        <v>0.80300000000000005</v>
      </c>
      <c r="E12" s="148">
        <v>50</v>
      </c>
      <c r="F12" s="147">
        <f>B11/C11*D12/E12*H5</f>
        <v>16.043458200000003</v>
      </c>
      <c r="G12" s="148">
        <v>1</v>
      </c>
      <c r="H12" s="148">
        <v>20</v>
      </c>
      <c r="I12" s="149">
        <f>(B11/C11*D12/E12*G12/H12*H5)</f>
        <v>0.80217291000000013</v>
      </c>
      <c r="J12" s="148" t="s">
        <v>18</v>
      </c>
      <c r="K12" s="150">
        <f>ROUND(LN(I12),4)</f>
        <v>-0.22040000000000001</v>
      </c>
      <c r="L12" s="13"/>
      <c r="M12" s="7"/>
      <c r="N12" s="7"/>
    </row>
    <row r="13" spans="1:15" ht="15.75" thickBot="1" x14ac:dyDescent="0.3">
      <c r="A13" s="151"/>
      <c r="B13" s="152"/>
      <c r="C13" s="99"/>
      <c r="D13" s="147">
        <v>1</v>
      </c>
      <c r="E13" s="148">
        <v>50</v>
      </c>
      <c r="F13" s="147">
        <f>B11/C11*D13/E13*H5</f>
        <v>19.979400000000002</v>
      </c>
      <c r="G13" s="148">
        <v>1</v>
      </c>
      <c r="H13" s="148">
        <v>20</v>
      </c>
      <c r="I13" s="149">
        <f>(B11/C11*D13/E13*G13/H13*H5)</f>
        <v>0.99897000000000025</v>
      </c>
      <c r="J13" s="148" t="s">
        <v>19</v>
      </c>
      <c r="K13" s="150">
        <f>ROUND(LN(I13),4)</f>
        <v>-1E-3</v>
      </c>
      <c r="L13" s="13"/>
      <c r="M13" s="7"/>
      <c r="N13" s="7"/>
    </row>
    <row r="14" spans="1:15" ht="15.75" thickBot="1" x14ac:dyDescent="0.3">
      <c r="A14" s="151"/>
      <c r="B14" s="152"/>
      <c r="C14" s="99"/>
      <c r="D14" s="147">
        <v>1.2549999999999999</v>
      </c>
      <c r="E14" s="148">
        <v>50</v>
      </c>
      <c r="F14" s="147">
        <f>B11/C11*D14/E14*H5</f>
        <v>25.074147</v>
      </c>
      <c r="G14" s="148">
        <v>1</v>
      </c>
      <c r="H14" s="148">
        <v>20</v>
      </c>
      <c r="I14" s="149">
        <f>(B11/C11*D14/E14*G14/H14*H5)</f>
        <v>1.25370735</v>
      </c>
      <c r="J14" s="148" t="s">
        <v>20</v>
      </c>
      <c r="K14" s="150">
        <f>ROUND(LN(I14),4)</f>
        <v>0.2261</v>
      </c>
      <c r="L14" s="13"/>
      <c r="M14" s="7"/>
      <c r="N14" s="7"/>
    </row>
    <row r="15" spans="1:15" ht="15.75" thickBot="1" x14ac:dyDescent="0.3">
      <c r="A15" s="153"/>
      <c r="B15" s="154"/>
      <c r="C15" s="155"/>
      <c r="D15" s="147">
        <v>1.5660000000000001</v>
      </c>
      <c r="E15" s="148">
        <v>50</v>
      </c>
      <c r="F15" s="147">
        <f>B11/C11*D15/E15*H5</f>
        <v>31.287740400000008</v>
      </c>
      <c r="G15" s="148">
        <v>1</v>
      </c>
      <c r="H15" s="148">
        <v>20</v>
      </c>
      <c r="I15" s="149">
        <f>(B11/C11*D15/E15*G15/H15*H5)</f>
        <v>1.5643870200000005</v>
      </c>
      <c r="J15" s="148" t="s">
        <v>21</v>
      </c>
      <c r="K15" s="150">
        <f>ROUND(LN(I15),4)</f>
        <v>0.44750000000000001</v>
      </c>
      <c r="L15" s="13"/>
      <c r="M15" s="7"/>
      <c r="N15" s="7"/>
    </row>
    <row r="16" spans="1:15" ht="15.75" thickBot="1" x14ac:dyDescent="0.3">
      <c r="A16" s="156" t="s">
        <v>61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8"/>
      <c r="L16" s="7"/>
      <c r="M16" s="7"/>
      <c r="N16" s="7"/>
    </row>
    <row r="17" spans="1:14" ht="15.75" thickBot="1" x14ac:dyDescent="0.3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7"/>
      <c r="M17" s="7"/>
      <c r="N17" s="7"/>
    </row>
    <row r="18" spans="1:14" ht="15.75" thickBot="1" x14ac:dyDescent="0.3">
      <c r="A18" s="139" t="s">
        <v>15</v>
      </c>
      <c r="B18" s="140"/>
      <c r="C18" s="141"/>
      <c r="D18" s="138"/>
      <c r="E18" s="138"/>
      <c r="F18" s="138"/>
      <c r="G18" s="138"/>
      <c r="H18" s="138"/>
      <c r="I18" s="138"/>
      <c r="J18" s="138"/>
      <c r="K18" s="138"/>
      <c r="L18" s="7"/>
      <c r="M18" s="7"/>
      <c r="N18" s="7"/>
    </row>
    <row r="19" spans="1:14" ht="30" customHeight="1" thickBot="1" x14ac:dyDescent="0.3">
      <c r="A19" s="144" t="s">
        <v>11</v>
      </c>
      <c r="B19" s="144" t="s">
        <v>12</v>
      </c>
      <c r="C19" s="144" t="s">
        <v>13</v>
      </c>
      <c r="D19" s="144" t="s">
        <v>13</v>
      </c>
      <c r="E19" s="144" t="s">
        <v>13</v>
      </c>
      <c r="F19" s="144" t="s">
        <v>22</v>
      </c>
      <c r="G19" s="144" t="s">
        <v>13</v>
      </c>
      <c r="H19" s="144" t="s">
        <v>14</v>
      </c>
      <c r="I19" s="144" t="s">
        <v>22</v>
      </c>
      <c r="J19" s="138"/>
      <c r="K19" s="138"/>
      <c r="L19" s="7"/>
      <c r="M19" s="7"/>
      <c r="N19" s="7"/>
    </row>
    <row r="20" spans="1:14" ht="22.5" customHeight="1" thickBot="1" x14ac:dyDescent="0.3">
      <c r="A20" s="159" t="s">
        <v>66</v>
      </c>
      <c r="B20" s="160">
        <v>10.042999999999999</v>
      </c>
      <c r="C20" s="160">
        <v>10</v>
      </c>
      <c r="D20" s="160">
        <v>1</v>
      </c>
      <c r="E20" s="160">
        <v>50</v>
      </c>
      <c r="F20" s="160">
        <f t="shared" ref="F20" si="0">B20/C20*D20/E20*1000</f>
        <v>20.085999999999999</v>
      </c>
      <c r="G20" s="160">
        <v>1</v>
      </c>
      <c r="H20" s="160">
        <v>20</v>
      </c>
      <c r="I20" s="161">
        <f t="shared" ref="I20:I22" si="1">F20*G20/H20</f>
        <v>1.0043</v>
      </c>
      <c r="J20" s="138"/>
      <c r="K20" s="138"/>
      <c r="L20" s="7"/>
      <c r="M20" s="7"/>
      <c r="N20" s="7"/>
    </row>
    <row r="21" spans="1:14" ht="22.5" customHeight="1" thickBot="1" x14ac:dyDescent="0.3">
      <c r="A21" s="159" t="s">
        <v>67</v>
      </c>
      <c r="B21" s="161">
        <v>10.045999999999999</v>
      </c>
      <c r="C21" s="160">
        <v>10</v>
      </c>
      <c r="D21" s="160">
        <v>1</v>
      </c>
      <c r="E21" s="160">
        <v>50</v>
      </c>
      <c r="F21" s="160">
        <f>B21/C21*D21/E21*1000</f>
        <v>20.091999999999999</v>
      </c>
      <c r="G21" s="160">
        <v>1</v>
      </c>
      <c r="H21" s="160">
        <v>20</v>
      </c>
      <c r="I21" s="161">
        <f t="shared" si="1"/>
        <v>1.0045999999999999</v>
      </c>
      <c r="J21" s="138"/>
      <c r="K21" s="138"/>
      <c r="L21" s="7"/>
      <c r="M21" s="7"/>
      <c r="N21" s="7"/>
    </row>
    <row r="22" spans="1:14" ht="22.5" customHeight="1" thickBot="1" x14ac:dyDescent="0.3">
      <c r="A22" s="159" t="s">
        <v>68</v>
      </c>
      <c r="B22" s="161">
        <v>10.048999999999999</v>
      </c>
      <c r="C22" s="160">
        <v>10</v>
      </c>
      <c r="D22" s="160">
        <v>1</v>
      </c>
      <c r="E22" s="160">
        <v>50</v>
      </c>
      <c r="F22" s="160">
        <f>B22/C22*D22/E22*1000</f>
        <v>20.097999999999999</v>
      </c>
      <c r="G22" s="160">
        <v>1</v>
      </c>
      <c r="H22" s="160">
        <v>20</v>
      </c>
      <c r="I22" s="161">
        <f t="shared" si="1"/>
        <v>1.0048999999999999</v>
      </c>
      <c r="J22" s="138"/>
      <c r="K22" s="138"/>
      <c r="L22" s="7"/>
      <c r="M22" s="7"/>
      <c r="N22" s="7"/>
    </row>
    <row r="23" spans="1:14" x14ac:dyDescent="0.25">
      <c r="A23" s="162"/>
      <c r="B23" s="163"/>
      <c r="C23" s="163"/>
      <c r="D23" s="163"/>
      <c r="E23" s="163"/>
      <c r="F23" s="163"/>
      <c r="G23" s="163"/>
      <c r="H23" s="163"/>
      <c r="I23" s="163"/>
      <c r="J23" s="138"/>
      <c r="K23" s="138"/>
      <c r="L23" s="7"/>
      <c r="M23" s="7"/>
      <c r="N23" s="7"/>
    </row>
    <row r="24" spans="1:14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7"/>
      <c r="K24" s="7"/>
      <c r="L24" s="7"/>
      <c r="M24" s="7"/>
      <c r="N24" s="7"/>
    </row>
    <row r="25" spans="1:14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7"/>
      <c r="K25" s="7"/>
      <c r="L25" s="7"/>
      <c r="M25" s="7"/>
      <c r="N25" s="7"/>
    </row>
    <row r="26" spans="1:14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7"/>
      <c r="K26" s="7"/>
      <c r="L26" s="7"/>
      <c r="M26" s="7"/>
      <c r="N26" s="7"/>
    </row>
    <row r="27" spans="1:14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7"/>
      <c r="K27" s="7"/>
      <c r="L27" s="7"/>
      <c r="M27" s="7"/>
      <c r="N27" s="7"/>
    </row>
    <row r="28" spans="1:14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7"/>
      <c r="K28" s="7"/>
      <c r="L28" s="7"/>
      <c r="M28" s="7"/>
      <c r="N28" s="7"/>
    </row>
    <row r="29" spans="1:14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7"/>
      <c r="K29" s="7"/>
      <c r="L29" s="7"/>
      <c r="M29" s="7"/>
      <c r="N29" s="7"/>
    </row>
    <row r="30" spans="1:14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7"/>
      <c r="K30" s="7"/>
      <c r="L30" s="7"/>
      <c r="M30" s="7"/>
      <c r="N30" s="7"/>
    </row>
    <row r="31" spans="1:14" x14ac:dyDescent="0.25">
      <c r="A31" s="16"/>
      <c r="B31" s="17"/>
      <c r="C31" s="17"/>
      <c r="D31" s="17"/>
      <c r="E31" s="17"/>
      <c r="F31" s="17"/>
      <c r="G31" s="17"/>
      <c r="H31" s="17"/>
      <c r="I31" s="17"/>
      <c r="J31" s="7"/>
      <c r="K31" s="7"/>
      <c r="L31" s="7"/>
      <c r="M31" s="7"/>
      <c r="N31" s="7"/>
    </row>
    <row r="32" spans="1:14" x14ac:dyDescent="0.25">
      <c r="A32" s="16"/>
      <c r="B32" s="17"/>
      <c r="C32" s="17"/>
      <c r="D32" s="17"/>
      <c r="E32" s="17"/>
      <c r="F32" s="17"/>
      <c r="G32" s="17"/>
      <c r="H32" s="17"/>
      <c r="I32" s="17"/>
      <c r="J32" s="7"/>
      <c r="K32" s="7"/>
      <c r="L32" s="7"/>
      <c r="M32" s="7"/>
      <c r="N32" s="7"/>
    </row>
    <row r="33" spans="1:14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7"/>
      <c r="K33" s="7"/>
      <c r="L33" s="7"/>
      <c r="M33" s="7"/>
      <c r="N33" s="7"/>
    </row>
    <row r="34" spans="1:14" x14ac:dyDescent="0.25">
      <c r="A34" s="16"/>
      <c r="B34" s="17"/>
      <c r="C34" s="17"/>
      <c r="D34" s="17"/>
      <c r="E34" s="17"/>
      <c r="F34" s="17"/>
      <c r="G34" s="17"/>
      <c r="H34" s="17"/>
      <c r="I34" s="17"/>
      <c r="J34" s="7"/>
      <c r="K34" s="7"/>
      <c r="L34" s="7"/>
      <c r="M34" s="7"/>
      <c r="N34" s="7"/>
    </row>
    <row r="35" spans="1:14" x14ac:dyDescent="0.25">
      <c r="A35" s="16"/>
      <c r="B35" s="17"/>
      <c r="C35" s="17"/>
      <c r="D35" s="17"/>
      <c r="E35" s="17"/>
      <c r="F35" s="17"/>
      <c r="G35" s="17"/>
      <c r="H35" s="17"/>
      <c r="I35" s="17"/>
      <c r="J35" s="7"/>
      <c r="K35" s="7"/>
      <c r="L35" s="7"/>
      <c r="M35" s="7"/>
      <c r="N35" s="7"/>
    </row>
    <row r="36" spans="1:14" x14ac:dyDescent="0.25">
      <c r="A36" s="16"/>
      <c r="B36" s="17"/>
      <c r="C36" s="17"/>
      <c r="D36" s="17"/>
      <c r="E36" s="17"/>
      <c r="F36" s="17"/>
      <c r="G36" s="17"/>
      <c r="H36" s="17"/>
      <c r="I36" s="17"/>
      <c r="J36" s="7"/>
      <c r="K36" s="7"/>
      <c r="L36" s="7"/>
      <c r="M36" s="7"/>
      <c r="N36" s="7"/>
    </row>
    <row r="37" spans="1:14" x14ac:dyDescent="0.25">
      <c r="A37" s="16"/>
      <c r="B37" s="17"/>
      <c r="C37" s="17"/>
      <c r="D37" s="17"/>
      <c r="E37" s="17"/>
      <c r="F37" s="17"/>
      <c r="G37" s="17"/>
      <c r="H37" s="7"/>
      <c r="I37" s="7"/>
      <c r="J37" s="7"/>
      <c r="K37" s="7"/>
      <c r="L37" s="7"/>
      <c r="M37" s="7"/>
      <c r="N37" s="7"/>
    </row>
    <row r="38" spans="1:14" x14ac:dyDescent="0.25">
      <c r="A38" s="16"/>
      <c r="B38" s="17"/>
      <c r="C38" s="17"/>
      <c r="D38" s="17"/>
      <c r="E38" s="17"/>
      <c r="F38" s="17"/>
      <c r="G38" s="17"/>
      <c r="H38" s="7"/>
      <c r="I38" s="7"/>
      <c r="J38" s="7"/>
      <c r="K38" s="7"/>
      <c r="L38" s="7"/>
      <c r="M38" s="7"/>
      <c r="N38" s="7"/>
    </row>
    <row r="39" spans="1:14" ht="15.75" thickBot="1" x14ac:dyDescent="0.3">
      <c r="A39" s="7"/>
      <c r="B39" s="7"/>
      <c r="C39" s="7"/>
      <c r="D39" s="7"/>
      <c r="E39" s="17"/>
      <c r="F39" s="17"/>
      <c r="G39" s="17"/>
      <c r="H39" s="7"/>
      <c r="I39" s="7"/>
      <c r="J39" s="7"/>
      <c r="K39" s="7"/>
      <c r="L39" s="7"/>
      <c r="M39" s="7"/>
      <c r="N39" s="7"/>
    </row>
    <row r="40" spans="1:14" ht="15.75" thickBot="1" x14ac:dyDescent="0.3">
      <c r="A40" s="71" t="s">
        <v>24</v>
      </c>
      <c r="B40" s="93" t="s">
        <v>25</v>
      </c>
      <c r="C40" s="94" t="s">
        <v>26</v>
      </c>
      <c r="D40" s="95" t="s">
        <v>32</v>
      </c>
      <c r="E40" s="96"/>
      <c r="F40" s="96"/>
      <c r="G40" s="96"/>
      <c r="H40" s="97"/>
      <c r="I40" s="95" t="s">
        <v>33</v>
      </c>
      <c r="J40" s="96"/>
      <c r="K40" s="96"/>
      <c r="L40" s="96"/>
      <c r="M40" s="96"/>
      <c r="N40" s="97"/>
    </row>
    <row r="41" spans="1:14" ht="30.75" thickBot="1" x14ac:dyDescent="0.3">
      <c r="A41" s="72"/>
      <c r="B41" s="98"/>
      <c r="C41" s="99"/>
      <c r="D41" s="100" t="s">
        <v>34</v>
      </c>
      <c r="E41" s="100" t="s">
        <v>35</v>
      </c>
      <c r="F41" s="100" t="s">
        <v>36</v>
      </c>
      <c r="G41" s="100" t="s">
        <v>30</v>
      </c>
      <c r="H41" s="100" t="s">
        <v>31</v>
      </c>
      <c r="I41" s="100" t="s">
        <v>27</v>
      </c>
      <c r="J41" s="100" t="s">
        <v>28</v>
      </c>
      <c r="K41" s="100" t="s">
        <v>29</v>
      </c>
      <c r="L41" s="100" t="s">
        <v>30</v>
      </c>
      <c r="M41" s="100" t="s">
        <v>31</v>
      </c>
      <c r="N41" s="101" t="s">
        <v>40</v>
      </c>
    </row>
    <row r="42" spans="1:14" x14ac:dyDescent="0.25">
      <c r="A42" s="62" t="s">
        <v>17</v>
      </c>
      <c r="B42" s="102">
        <f>K11</f>
        <v>-0.44259999999999999</v>
      </c>
      <c r="C42" s="103">
        <v>1</v>
      </c>
      <c r="D42" s="104">
        <v>14.11</v>
      </c>
      <c r="E42" s="105">
        <v>14.16</v>
      </c>
      <c r="F42" s="106">
        <v>14.44</v>
      </c>
      <c r="G42" s="107">
        <f>AVERAGE(D42:F44)</f>
        <v>14.389999999999999</v>
      </c>
      <c r="H42" s="107">
        <f>STDEV(D42:F44)*100/G42</f>
        <v>1.824431632081319</v>
      </c>
      <c r="I42" s="108">
        <v>13.61</v>
      </c>
      <c r="J42" s="109">
        <v>13.47</v>
      </c>
      <c r="K42" s="110">
        <v>13.74</v>
      </c>
      <c r="L42" s="107">
        <f>AVERAGE(I42:K44)</f>
        <v>13.477777777777778</v>
      </c>
      <c r="M42" s="107">
        <f>STDEV(I42:K44)*100/L42</f>
        <v>2.2217948107963341</v>
      </c>
      <c r="N42" s="107">
        <f>L42-(G42-G54)</f>
        <v>13.530555555555557</v>
      </c>
    </row>
    <row r="43" spans="1:14" x14ac:dyDescent="0.25">
      <c r="A43" s="63"/>
      <c r="B43" s="111"/>
      <c r="C43" s="112">
        <v>2</v>
      </c>
      <c r="D43" s="113">
        <v>14</v>
      </c>
      <c r="E43" s="114">
        <v>14.34</v>
      </c>
      <c r="F43" s="115">
        <v>14.81</v>
      </c>
      <c r="G43" s="116"/>
      <c r="H43" s="116"/>
      <c r="I43" s="117">
        <v>13.48</v>
      </c>
      <c r="J43" s="118">
        <v>13.6</v>
      </c>
      <c r="K43" s="119">
        <v>13.9</v>
      </c>
      <c r="L43" s="116"/>
      <c r="M43" s="116"/>
      <c r="N43" s="116"/>
    </row>
    <row r="44" spans="1:14" ht="15.75" thickBot="1" x14ac:dyDescent="0.3">
      <c r="A44" s="64"/>
      <c r="B44" s="120"/>
      <c r="C44" s="121">
        <v>3</v>
      </c>
      <c r="D44" s="122">
        <v>14.52</v>
      </c>
      <c r="E44" s="123">
        <v>14.5</v>
      </c>
      <c r="F44" s="124">
        <v>14.63</v>
      </c>
      <c r="G44" s="125"/>
      <c r="H44" s="125"/>
      <c r="I44" s="126">
        <v>13</v>
      </c>
      <c r="J44" s="127">
        <v>13.48</v>
      </c>
      <c r="K44" s="128">
        <v>13.02</v>
      </c>
      <c r="L44" s="125"/>
      <c r="M44" s="125"/>
      <c r="N44" s="125"/>
    </row>
    <row r="45" spans="1:14" x14ac:dyDescent="0.25">
      <c r="A45" s="62" t="s">
        <v>18</v>
      </c>
      <c r="B45" s="102">
        <f>K12</f>
        <v>-0.22040000000000001</v>
      </c>
      <c r="C45" s="103">
        <v>1</v>
      </c>
      <c r="D45" s="104">
        <v>14.69</v>
      </c>
      <c r="E45" s="105">
        <v>14.1</v>
      </c>
      <c r="F45" s="106">
        <v>14.48</v>
      </c>
      <c r="G45" s="107">
        <f t="shared" ref="G45" si="2">AVERAGE(D45:F47)</f>
        <v>14.606666666666664</v>
      </c>
      <c r="H45" s="107">
        <f t="shared" ref="H45" si="3">STDEV(D45:F47)*100/G45</f>
        <v>1.9723679083826469</v>
      </c>
      <c r="I45" s="108">
        <v>14.14</v>
      </c>
      <c r="J45" s="109">
        <v>14.72</v>
      </c>
      <c r="K45" s="110">
        <v>14.6</v>
      </c>
      <c r="L45" s="107">
        <f t="shared" ref="L45" si="4">AVERAGE(I45:K47)</f>
        <v>14.474444444444442</v>
      </c>
      <c r="M45" s="107">
        <f t="shared" ref="M45" si="5">STDEV(I45:K47)*100/L45</f>
        <v>1.8350806462944727</v>
      </c>
      <c r="N45" s="107">
        <f>L45-(G45-G54)</f>
        <v>14.310555555555556</v>
      </c>
    </row>
    <row r="46" spans="1:14" x14ac:dyDescent="0.25">
      <c r="A46" s="63"/>
      <c r="B46" s="111"/>
      <c r="C46" s="112">
        <v>2</v>
      </c>
      <c r="D46" s="113">
        <v>14.32</v>
      </c>
      <c r="E46" s="114">
        <v>14.45</v>
      </c>
      <c r="F46" s="115">
        <v>14.78</v>
      </c>
      <c r="G46" s="116"/>
      <c r="H46" s="116"/>
      <c r="I46" s="117">
        <v>14.5</v>
      </c>
      <c r="J46" s="118">
        <v>14.34</v>
      </c>
      <c r="K46" s="119">
        <v>14.91</v>
      </c>
      <c r="L46" s="116"/>
      <c r="M46" s="116"/>
      <c r="N46" s="116"/>
    </row>
    <row r="47" spans="1:14" ht="15.75" thickBot="1" x14ac:dyDescent="0.3">
      <c r="A47" s="64"/>
      <c r="B47" s="120"/>
      <c r="C47" s="121">
        <v>3</v>
      </c>
      <c r="D47" s="122">
        <v>15</v>
      </c>
      <c r="E47" s="123">
        <v>14.79</v>
      </c>
      <c r="F47" s="124">
        <v>14.85</v>
      </c>
      <c r="G47" s="125"/>
      <c r="H47" s="125"/>
      <c r="I47" s="126">
        <v>14.64</v>
      </c>
      <c r="J47" s="127">
        <v>14.19</v>
      </c>
      <c r="K47" s="128">
        <v>14.23</v>
      </c>
      <c r="L47" s="125"/>
      <c r="M47" s="125"/>
      <c r="N47" s="125"/>
    </row>
    <row r="48" spans="1:14" x14ac:dyDescent="0.25">
      <c r="A48" s="62" t="s">
        <v>20</v>
      </c>
      <c r="B48" s="102">
        <f>K14</f>
        <v>0.2261</v>
      </c>
      <c r="C48" s="103">
        <v>1</v>
      </c>
      <c r="D48" s="104">
        <v>14.78</v>
      </c>
      <c r="E48" s="105">
        <v>14.6</v>
      </c>
      <c r="F48" s="106">
        <v>14.64</v>
      </c>
      <c r="G48" s="107">
        <f t="shared" ref="G48" si="6">AVERAGE(D48:F50)</f>
        <v>14.450000000000001</v>
      </c>
      <c r="H48" s="107">
        <f t="shared" ref="H48" si="7">STDEV(D48:F50)*100/G48</f>
        <v>1.3203310746255288</v>
      </c>
      <c r="I48" s="108">
        <v>15.04</v>
      </c>
      <c r="J48" s="109">
        <v>15.9</v>
      </c>
      <c r="K48" s="110">
        <v>15.53</v>
      </c>
      <c r="L48" s="107">
        <f t="shared" ref="L48" si="8">AVERAGE(I48:K50)</f>
        <v>15.164444444444447</v>
      </c>
      <c r="M48" s="107">
        <f t="shared" ref="M48" si="9">STDEV(I48:K50)*100/L48</f>
        <v>2.87538684638452</v>
      </c>
      <c r="N48" s="107">
        <f>L48-(G48-G54)</f>
        <v>15.157222222222224</v>
      </c>
    </row>
    <row r="49" spans="1:14" x14ac:dyDescent="0.25">
      <c r="A49" s="63"/>
      <c r="B49" s="111"/>
      <c r="C49" s="112">
        <v>2</v>
      </c>
      <c r="D49" s="113">
        <v>14.46</v>
      </c>
      <c r="E49" s="114">
        <v>14.22</v>
      </c>
      <c r="F49" s="115">
        <v>14.25</v>
      </c>
      <c r="G49" s="116"/>
      <c r="H49" s="116"/>
      <c r="I49" s="117">
        <v>14.48</v>
      </c>
      <c r="J49" s="118">
        <v>15</v>
      </c>
      <c r="K49" s="119">
        <v>15.45</v>
      </c>
      <c r="L49" s="116"/>
      <c r="M49" s="116"/>
      <c r="N49" s="116"/>
    </row>
    <row r="50" spans="1:14" ht="15.75" thickBot="1" x14ac:dyDescent="0.3">
      <c r="A50" s="64"/>
      <c r="B50" s="120"/>
      <c r="C50" s="121">
        <v>3</v>
      </c>
      <c r="D50" s="122">
        <v>14.3</v>
      </c>
      <c r="E50" s="123">
        <v>14.44</v>
      </c>
      <c r="F50" s="124">
        <v>14.36</v>
      </c>
      <c r="G50" s="125"/>
      <c r="H50" s="125"/>
      <c r="I50" s="126">
        <v>14.67</v>
      </c>
      <c r="J50" s="127">
        <v>15.15</v>
      </c>
      <c r="K50" s="128">
        <v>15.26</v>
      </c>
      <c r="L50" s="125"/>
      <c r="M50" s="125"/>
      <c r="N50" s="125"/>
    </row>
    <row r="51" spans="1:14" x14ac:dyDescent="0.25">
      <c r="A51" s="62" t="s">
        <v>21</v>
      </c>
      <c r="B51" s="102">
        <f>K15</f>
        <v>0.44750000000000001</v>
      </c>
      <c r="C51" s="103">
        <v>1</v>
      </c>
      <c r="D51" s="129">
        <v>14.2</v>
      </c>
      <c r="E51" s="130">
        <v>14.36</v>
      </c>
      <c r="F51" s="131">
        <v>14.41</v>
      </c>
      <c r="G51" s="107">
        <f t="shared" ref="G51" si="10">AVERAGE(D51:F53)</f>
        <v>14.324444444444445</v>
      </c>
      <c r="H51" s="107">
        <f t="shared" ref="H51" si="11">STDEV(D51:F53)*100/G51</f>
        <v>1.6769517719967264</v>
      </c>
      <c r="I51" s="132">
        <v>15.8</v>
      </c>
      <c r="J51" s="133">
        <v>15.2</v>
      </c>
      <c r="K51" s="134">
        <v>16.48</v>
      </c>
      <c r="L51" s="107">
        <f t="shared" ref="L51" si="12">AVERAGE(I51:K53)</f>
        <v>15.835555555555553</v>
      </c>
      <c r="M51" s="107">
        <f t="shared" ref="M51" si="13">STDEV(I51:K53)*100/L51</f>
        <v>4.1186424827513441</v>
      </c>
      <c r="N51" s="107">
        <f>L51-(G51-G54)</f>
        <v>15.953888888888885</v>
      </c>
    </row>
    <row r="52" spans="1:14" x14ac:dyDescent="0.25">
      <c r="A52" s="63"/>
      <c r="B52" s="111"/>
      <c r="C52" s="112">
        <v>2</v>
      </c>
      <c r="D52" s="113">
        <v>14</v>
      </c>
      <c r="E52" s="114">
        <v>14.48</v>
      </c>
      <c r="F52" s="135">
        <v>14.22</v>
      </c>
      <c r="G52" s="116"/>
      <c r="H52" s="116"/>
      <c r="I52" s="136">
        <v>15.26</v>
      </c>
      <c r="J52" s="118">
        <v>15.14</v>
      </c>
      <c r="K52" s="137">
        <v>16.940000000000001</v>
      </c>
      <c r="L52" s="116"/>
      <c r="M52" s="116"/>
      <c r="N52" s="116"/>
    </row>
    <row r="53" spans="1:14" ht="15.75" thickBot="1" x14ac:dyDescent="0.3">
      <c r="A53" s="64"/>
      <c r="B53" s="120"/>
      <c r="C53" s="121">
        <v>3</v>
      </c>
      <c r="D53" s="113">
        <v>14.55</v>
      </c>
      <c r="E53" s="123">
        <v>14.7</v>
      </c>
      <c r="F53" s="135">
        <v>14</v>
      </c>
      <c r="G53" s="125"/>
      <c r="H53" s="125"/>
      <c r="I53" s="136">
        <v>15.34</v>
      </c>
      <c r="J53" s="127">
        <v>16</v>
      </c>
      <c r="K53" s="137">
        <v>16.36</v>
      </c>
      <c r="L53" s="125"/>
      <c r="M53" s="125"/>
      <c r="N53" s="125"/>
    </row>
    <row r="54" spans="1:14" ht="15.75" thickBot="1" x14ac:dyDescent="0.3">
      <c r="A54" s="21" t="s">
        <v>37</v>
      </c>
      <c r="B54" s="14">
        <f>K13</f>
        <v>-1E-3</v>
      </c>
      <c r="C54" s="65" t="s">
        <v>38</v>
      </c>
      <c r="D54" s="66"/>
      <c r="E54" s="66"/>
      <c r="F54" s="67"/>
      <c r="G54" s="14">
        <f>AVERAGE(G42:G53)</f>
        <v>14.442777777777778</v>
      </c>
      <c r="H54" s="22"/>
      <c r="I54" s="14"/>
      <c r="J54" s="14"/>
      <c r="K54" s="14"/>
      <c r="L54" s="14"/>
      <c r="M54" s="14"/>
      <c r="N54" s="14">
        <f>G54</f>
        <v>14.442777777777778</v>
      </c>
    </row>
    <row r="55" spans="1:14" ht="15.75" thickBot="1" x14ac:dyDescent="0.3">
      <c r="A55" s="68" t="s">
        <v>42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70"/>
    </row>
    <row r="56" spans="1:14" ht="15.75" customHeight="1" thickBot="1" x14ac:dyDescent="0.3">
      <c r="A56" s="71" t="s">
        <v>43</v>
      </c>
      <c r="B56" s="73" t="s">
        <v>25</v>
      </c>
      <c r="C56" s="62" t="s">
        <v>26</v>
      </c>
      <c r="D56" s="75" t="s">
        <v>32</v>
      </c>
      <c r="E56" s="76"/>
      <c r="F56" s="76"/>
      <c r="G56" s="76"/>
      <c r="H56" s="77"/>
      <c r="I56" s="75" t="s">
        <v>33</v>
      </c>
      <c r="J56" s="76"/>
      <c r="K56" s="76"/>
      <c r="L56" s="76"/>
      <c r="M56" s="76"/>
      <c r="N56" s="77"/>
    </row>
    <row r="57" spans="1:14" ht="30.75" customHeight="1" thickBot="1" x14ac:dyDescent="0.3">
      <c r="A57" s="72"/>
      <c r="B57" s="74"/>
      <c r="C57" s="63"/>
      <c r="D57" s="15" t="s">
        <v>34</v>
      </c>
      <c r="E57" s="15" t="s">
        <v>35</v>
      </c>
      <c r="F57" s="15" t="s">
        <v>36</v>
      </c>
      <c r="G57" s="15" t="s">
        <v>30</v>
      </c>
      <c r="H57" s="15" t="s">
        <v>31</v>
      </c>
      <c r="I57" s="15" t="s">
        <v>27</v>
      </c>
      <c r="J57" s="15" t="s">
        <v>28</v>
      </c>
      <c r="K57" s="15" t="s">
        <v>29</v>
      </c>
      <c r="L57" s="15" t="s">
        <v>30</v>
      </c>
      <c r="M57" s="15" t="s">
        <v>31</v>
      </c>
      <c r="N57" s="18" t="s">
        <v>44</v>
      </c>
    </row>
    <row r="58" spans="1:14" ht="15.75" thickBot="1" x14ac:dyDescent="0.3">
      <c r="A58" s="48" t="s">
        <v>66</v>
      </c>
      <c r="B58" s="23"/>
      <c r="C58" s="24">
        <v>1</v>
      </c>
      <c r="D58" s="25">
        <v>14.05</v>
      </c>
      <c r="E58" s="26">
        <v>14.46</v>
      </c>
      <c r="F58" s="27">
        <v>15.08</v>
      </c>
      <c r="G58" s="53">
        <f t="shared" ref="G58" si="14">AVERAGE(D58:F60)</f>
        <v>14.545555555555556</v>
      </c>
      <c r="H58" s="53">
        <f t="shared" ref="H58" si="15">STDEV(D58:F60)*100/G58</f>
        <v>2.4723821201408258</v>
      </c>
      <c r="I58" s="25">
        <v>14.27</v>
      </c>
      <c r="J58" s="26">
        <v>15.79</v>
      </c>
      <c r="K58" s="27">
        <v>15.3</v>
      </c>
      <c r="L58" s="53">
        <f t="shared" ref="L58" si="16">AVERAGE(I58:K60)</f>
        <v>15.014444444444443</v>
      </c>
      <c r="M58" s="53">
        <f t="shared" ref="M58:M64" si="17">STDEV(I58:K60)*100/L58</f>
        <v>3.2521394391936043</v>
      </c>
      <c r="N58" s="53">
        <f>L58-(G58-G54)</f>
        <v>14.911666666666665</v>
      </c>
    </row>
    <row r="59" spans="1:14" ht="15.75" thickBot="1" x14ac:dyDescent="0.3">
      <c r="A59" s="49"/>
      <c r="B59" s="28" t="s">
        <v>39</v>
      </c>
      <c r="C59" s="19">
        <v>2</v>
      </c>
      <c r="D59" s="25">
        <v>15</v>
      </c>
      <c r="E59" s="26">
        <v>14.78</v>
      </c>
      <c r="F59" s="27">
        <v>14.47</v>
      </c>
      <c r="G59" s="54"/>
      <c r="H59" s="54"/>
      <c r="I59" s="25">
        <v>15.35</v>
      </c>
      <c r="J59" s="26">
        <v>15.18</v>
      </c>
      <c r="K59" s="27">
        <v>14.33</v>
      </c>
      <c r="L59" s="54"/>
      <c r="M59" s="54"/>
      <c r="N59" s="54"/>
    </row>
    <row r="60" spans="1:14" ht="15.75" thickBot="1" x14ac:dyDescent="0.3">
      <c r="A60" s="50"/>
      <c r="B60" s="29"/>
      <c r="C60" s="20">
        <v>3</v>
      </c>
      <c r="D60" s="30">
        <v>14.15</v>
      </c>
      <c r="E60" s="31">
        <v>14.29</v>
      </c>
      <c r="F60" s="32">
        <v>14.63</v>
      </c>
      <c r="G60" s="55"/>
      <c r="H60" s="55"/>
      <c r="I60" s="25">
        <v>14.79</v>
      </c>
      <c r="J60" s="26">
        <v>15.12</v>
      </c>
      <c r="K60" s="27">
        <v>15</v>
      </c>
      <c r="L60" s="55"/>
      <c r="M60" s="55"/>
      <c r="N60" s="55"/>
    </row>
    <row r="61" spans="1:14" ht="15.75" customHeight="1" thickBot="1" x14ac:dyDescent="0.3">
      <c r="A61" s="48" t="s">
        <v>67</v>
      </c>
      <c r="B61" s="23"/>
      <c r="C61" s="24">
        <v>1</v>
      </c>
      <c r="D61" s="25">
        <v>14.4</v>
      </c>
      <c r="E61" s="25">
        <v>14.06</v>
      </c>
      <c r="F61" s="25">
        <v>15.48</v>
      </c>
      <c r="G61" s="53">
        <f t="shared" ref="G61" si="18">AVERAGE(D61:F63)</f>
        <v>14.593333333333334</v>
      </c>
      <c r="H61" s="53">
        <f t="shared" ref="H61" si="19">STDEV(D61:F63)*100/G61</f>
        <v>3.2208309387316651</v>
      </c>
      <c r="I61" s="25">
        <v>14.22</v>
      </c>
      <c r="J61" s="25">
        <v>14.67</v>
      </c>
      <c r="K61" s="25">
        <v>15.49</v>
      </c>
      <c r="L61" s="53">
        <f t="shared" ref="L61" si="20">AVERAGE(I61:K63)</f>
        <v>15.152222222222223</v>
      </c>
      <c r="M61" s="53">
        <f t="shared" si="17"/>
        <v>3.9450452955258442</v>
      </c>
      <c r="N61" s="53">
        <f>L61-(G61-G54)</f>
        <v>15.001666666666667</v>
      </c>
    </row>
    <row r="62" spans="1:14" ht="15.75" thickBot="1" x14ac:dyDescent="0.3">
      <c r="A62" s="49"/>
      <c r="B62" s="28" t="s">
        <v>39</v>
      </c>
      <c r="C62" s="19">
        <v>2</v>
      </c>
      <c r="D62" s="25">
        <v>15.02</v>
      </c>
      <c r="E62" s="25">
        <v>14.19</v>
      </c>
      <c r="F62" s="25">
        <v>14.29</v>
      </c>
      <c r="G62" s="54"/>
      <c r="H62" s="54"/>
      <c r="I62" s="25">
        <v>15.36</v>
      </c>
      <c r="J62" s="25">
        <v>15.5</v>
      </c>
      <c r="K62" s="25">
        <v>15.08</v>
      </c>
      <c r="L62" s="54"/>
      <c r="M62" s="54"/>
      <c r="N62" s="54"/>
    </row>
    <row r="63" spans="1:14" ht="15.75" thickBot="1" x14ac:dyDescent="0.3">
      <c r="A63" s="50"/>
      <c r="B63" s="29"/>
      <c r="C63" s="20">
        <v>3</v>
      </c>
      <c r="D63" s="30">
        <v>14.36</v>
      </c>
      <c r="E63" s="30">
        <v>14.54</v>
      </c>
      <c r="F63" s="31">
        <v>15</v>
      </c>
      <c r="G63" s="55"/>
      <c r="H63" s="55"/>
      <c r="I63" s="30">
        <v>14.84</v>
      </c>
      <c r="J63" s="30">
        <v>16.3</v>
      </c>
      <c r="K63" s="31">
        <v>14.91</v>
      </c>
      <c r="L63" s="55"/>
      <c r="M63" s="55"/>
      <c r="N63" s="55"/>
    </row>
    <row r="64" spans="1:14" ht="15.75" customHeight="1" thickBot="1" x14ac:dyDescent="0.3">
      <c r="A64" s="48" t="s">
        <v>68</v>
      </c>
      <c r="B64" s="23"/>
      <c r="C64" s="24">
        <v>1</v>
      </c>
      <c r="D64" s="25">
        <v>14.5</v>
      </c>
      <c r="E64" s="26">
        <v>14.31</v>
      </c>
      <c r="F64" s="27">
        <v>14.14</v>
      </c>
      <c r="G64" s="53">
        <f t="shared" ref="G64" si="21">AVERAGE(D64:F66)</f>
        <v>14.483333333333336</v>
      </c>
      <c r="H64" s="53">
        <f t="shared" ref="H64" si="22">STDEV(D64:F66)*100/G64</f>
        <v>2.0464557425011156</v>
      </c>
      <c r="I64" s="25">
        <v>14.3</v>
      </c>
      <c r="J64" s="26">
        <v>15</v>
      </c>
      <c r="K64" s="27">
        <v>15.36</v>
      </c>
      <c r="L64" s="53">
        <f t="shared" ref="L64" si="23">AVERAGE(I64:K66)</f>
        <v>15.063333333333329</v>
      </c>
      <c r="M64" s="53">
        <f t="shared" si="17"/>
        <v>2.7208289397640857</v>
      </c>
      <c r="N64" s="53">
        <f>L64-(G64-G54)</f>
        <v>15.022777777777771</v>
      </c>
    </row>
    <row r="65" spans="1:14" ht="15.75" thickBot="1" x14ac:dyDescent="0.3">
      <c r="A65" s="49"/>
      <c r="B65" s="28" t="s">
        <v>39</v>
      </c>
      <c r="C65" s="19">
        <v>2</v>
      </c>
      <c r="D65" s="25">
        <v>15.11</v>
      </c>
      <c r="E65" s="26">
        <v>14.4</v>
      </c>
      <c r="F65" s="27">
        <v>14.29</v>
      </c>
      <c r="G65" s="54"/>
      <c r="H65" s="54"/>
      <c r="I65" s="25">
        <v>15.26</v>
      </c>
      <c r="J65" s="26">
        <v>14.78</v>
      </c>
      <c r="K65" s="27">
        <v>14.99</v>
      </c>
      <c r="L65" s="54"/>
      <c r="M65" s="54"/>
      <c r="N65" s="54"/>
    </row>
    <row r="66" spans="1:14" ht="15.75" thickBot="1" x14ac:dyDescent="0.3">
      <c r="A66" s="50"/>
      <c r="B66" s="29"/>
      <c r="C66" s="20">
        <v>3</v>
      </c>
      <c r="D66" s="30">
        <v>14.48</v>
      </c>
      <c r="E66" s="31">
        <v>14.79</v>
      </c>
      <c r="F66" s="32">
        <v>14.33</v>
      </c>
      <c r="G66" s="55"/>
      <c r="H66" s="55"/>
      <c r="I66" s="30">
        <v>15.49</v>
      </c>
      <c r="J66" s="31">
        <v>15.6</v>
      </c>
      <c r="K66" s="32">
        <v>14.79</v>
      </c>
      <c r="L66" s="55"/>
      <c r="M66" s="55"/>
      <c r="N66" s="55"/>
    </row>
    <row r="67" spans="1:14" ht="15.75" thickBo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.75" customHeight="1" thickBot="1" x14ac:dyDescent="0.3">
      <c r="A68" s="59" t="s">
        <v>45</v>
      </c>
      <c r="B68" s="60"/>
      <c r="C68" s="60"/>
      <c r="D68" s="60"/>
      <c r="E68" s="60"/>
      <c r="F68" s="60"/>
      <c r="G68" s="60"/>
      <c r="H68" s="61"/>
      <c r="I68" s="13"/>
      <c r="J68" s="13"/>
      <c r="K68" s="13"/>
      <c r="L68" s="13"/>
      <c r="M68" s="13"/>
      <c r="N68" s="13"/>
    </row>
    <row r="69" spans="1:14" ht="45.75" customHeight="1" thickBot="1" x14ac:dyDescent="0.3">
      <c r="A69" s="51" t="s">
        <v>46</v>
      </c>
      <c r="B69" s="52"/>
      <c r="C69" s="33" t="s">
        <v>47</v>
      </c>
      <c r="D69" s="33" t="s">
        <v>48</v>
      </c>
      <c r="E69" s="33" t="s">
        <v>49</v>
      </c>
      <c r="F69" s="33" t="s">
        <v>50</v>
      </c>
      <c r="G69" s="33" t="s">
        <v>63</v>
      </c>
      <c r="H69" s="33" t="s">
        <v>51</v>
      </c>
      <c r="I69" s="34"/>
      <c r="J69" s="56" t="s">
        <v>58</v>
      </c>
      <c r="K69" s="57"/>
      <c r="L69" s="57"/>
      <c r="M69" s="57"/>
      <c r="N69" s="58"/>
    </row>
    <row r="70" spans="1:14" ht="15" customHeight="1" thickBot="1" x14ac:dyDescent="0.3">
      <c r="A70" s="46" t="s">
        <v>66</v>
      </c>
      <c r="B70" s="47"/>
      <c r="C70" s="35">
        <f>ROUND(SLOPE(N42:N54,B42:B54),4)</f>
        <v>2.5581</v>
      </c>
      <c r="D70" s="35">
        <f>ROUND(INTERCEPT(N42:N54,B42:B54),4)</f>
        <v>14.674099999999999</v>
      </c>
      <c r="E70" s="36">
        <f>N58</f>
        <v>14.911666666666665</v>
      </c>
      <c r="F70" s="36">
        <f t="shared" ref="F70:F72" si="24">(E70-D70)/C70</f>
        <v>9.2868404935954829E-2</v>
      </c>
      <c r="G70" s="37">
        <f>ROUND(EXP(F70)*H20/G20*E20/D20*C20/B20,0)</f>
        <v>1093</v>
      </c>
      <c r="H70" s="38">
        <f>ROUND(EXP(F70)/I21*100,2)</f>
        <v>109.23</v>
      </c>
      <c r="I70" s="39"/>
      <c r="J70" s="39"/>
      <c r="K70" s="39"/>
      <c r="L70" s="39"/>
      <c r="M70" s="39"/>
      <c r="N70" s="39"/>
    </row>
    <row r="71" spans="1:14" ht="15" customHeight="1" thickBot="1" x14ac:dyDescent="0.3">
      <c r="A71" s="46" t="s">
        <v>67</v>
      </c>
      <c r="B71" s="47"/>
      <c r="C71" s="35">
        <f>ROUND(SLOPE(N42:N54,B42:B54),4)</f>
        <v>2.5581</v>
      </c>
      <c r="D71" s="35">
        <f>ROUND(INTERCEPT(N42:N54,B42:B54),4)</f>
        <v>14.674099999999999</v>
      </c>
      <c r="E71" s="36">
        <f>N61</f>
        <v>15.001666666666667</v>
      </c>
      <c r="F71" s="36">
        <f t="shared" si="24"/>
        <v>0.12805076684518496</v>
      </c>
      <c r="G71" s="37">
        <f>ROUND(EXP(F71)*H21/G21*E20/D20*C20/B20,0)</f>
        <v>1132</v>
      </c>
      <c r="H71" s="38">
        <f>ROUND(EXP(F71)/I21*100,2)</f>
        <v>113.14</v>
      </c>
      <c r="I71" s="39"/>
      <c r="J71" s="39"/>
      <c r="K71" s="39"/>
      <c r="L71" s="39"/>
      <c r="M71" s="39"/>
      <c r="N71" s="39"/>
    </row>
    <row r="72" spans="1:14" ht="15" customHeight="1" thickBot="1" x14ac:dyDescent="0.3">
      <c r="A72" s="46" t="s">
        <v>68</v>
      </c>
      <c r="B72" s="47"/>
      <c r="C72" s="35">
        <f>ROUND(SLOPE(N42:N54,B42:B54),4)</f>
        <v>2.5581</v>
      </c>
      <c r="D72" s="35">
        <f>ROUND(INTERCEPT(N42:N54,B42:B54),4)</f>
        <v>14.674099999999999</v>
      </c>
      <c r="E72" s="36">
        <f>N64</f>
        <v>15.022777777777771</v>
      </c>
      <c r="F72" s="36">
        <f t="shared" si="24"/>
        <v>0.13630341963870507</v>
      </c>
      <c r="G72" s="37">
        <f>ROUND(EXP(F72)*H22/G22*E20/D20*C20/B20,0)</f>
        <v>1141</v>
      </c>
      <c r="H72" s="38">
        <f>ROUND(EXP(F72)/I21*100,2)</f>
        <v>114.08</v>
      </c>
      <c r="I72" s="39"/>
      <c r="J72" s="39"/>
      <c r="K72" s="39"/>
      <c r="L72" s="39"/>
      <c r="M72" s="39"/>
      <c r="N72" s="39"/>
    </row>
    <row r="73" spans="1:14" ht="15.75" thickBot="1" x14ac:dyDescent="0.3">
      <c r="A73" s="40"/>
      <c r="B73" s="40"/>
      <c r="C73" s="41"/>
      <c r="D73" s="41"/>
      <c r="E73" s="42"/>
      <c r="F73" s="45"/>
      <c r="G73" s="37">
        <f>AVERAGE(G70:G72)</f>
        <v>1122</v>
      </c>
      <c r="H73" s="37">
        <f>AVERAGE(H70:H72)</f>
        <v>112.14999999999999</v>
      </c>
      <c r="I73" s="35" t="s">
        <v>38</v>
      </c>
      <c r="J73" s="39"/>
      <c r="K73" s="43"/>
      <c r="L73" s="43"/>
      <c r="M73" s="43"/>
      <c r="N73" s="43"/>
    </row>
    <row r="74" spans="1:14" ht="15.75" thickBot="1" x14ac:dyDescent="0.3">
      <c r="A74" s="43"/>
      <c r="B74" s="43"/>
      <c r="C74" s="43"/>
      <c r="D74" s="43"/>
      <c r="E74" s="43"/>
      <c r="F74" s="34"/>
      <c r="G74" s="34"/>
      <c r="H74" s="37">
        <f>STDEV(H70:H72)</f>
        <v>2.5721003090859398</v>
      </c>
      <c r="I74" s="35" t="s">
        <v>64</v>
      </c>
      <c r="J74" s="39"/>
      <c r="K74" s="43"/>
      <c r="L74" s="43"/>
      <c r="M74" s="43"/>
      <c r="N74" s="43"/>
    </row>
    <row r="75" spans="1:14" ht="15.75" thickBot="1" x14ac:dyDescent="0.3">
      <c r="A75" s="34"/>
      <c r="B75" s="34"/>
      <c r="C75" s="34"/>
      <c r="D75" s="34"/>
      <c r="E75" s="12"/>
      <c r="F75" s="34"/>
      <c r="G75" s="34"/>
      <c r="H75" s="37">
        <f>H74*100/H73</f>
        <v>2.2934465529076595</v>
      </c>
      <c r="I75" s="35" t="s">
        <v>65</v>
      </c>
      <c r="J75" s="39"/>
      <c r="K75" s="43"/>
      <c r="L75" s="43"/>
      <c r="M75" s="43"/>
      <c r="N75" s="43"/>
    </row>
    <row r="76" spans="1:14" x14ac:dyDescent="0.25">
      <c r="A76" s="43"/>
      <c r="B76" s="43"/>
      <c r="C76" s="43"/>
      <c r="D76" s="43"/>
      <c r="E76" s="43"/>
      <c r="F76" s="43"/>
      <c r="G76" s="43"/>
      <c r="H76" s="43"/>
      <c r="I76" s="43"/>
      <c r="J76" s="39"/>
      <c r="K76" s="43"/>
      <c r="L76" s="43"/>
      <c r="M76" s="43"/>
      <c r="N76" s="43"/>
    </row>
    <row r="77" spans="1:14" x14ac:dyDescent="0.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</row>
    <row r="78" spans="1:14" x14ac:dyDescent="0.25">
      <c r="A78" s="34" t="s">
        <v>53</v>
      </c>
      <c r="B78" s="43"/>
      <c r="C78" s="43"/>
      <c r="D78" s="43"/>
      <c r="E78" s="43"/>
      <c r="F78" s="43"/>
      <c r="G78" s="43"/>
      <c r="H78" s="43"/>
      <c r="I78" s="43"/>
      <c r="J78" s="34" t="s">
        <v>52</v>
      </c>
      <c r="K78" s="43"/>
      <c r="L78" s="43"/>
      <c r="M78" s="43"/>
      <c r="N78" s="43"/>
    </row>
  </sheetData>
  <mergeCells count="81">
    <mergeCell ref="B6:E6"/>
    <mergeCell ref="B4:E4"/>
    <mergeCell ref="H4:J4"/>
    <mergeCell ref="B5:E5"/>
    <mergeCell ref="H5:J5"/>
    <mergeCell ref="H6:J6"/>
    <mergeCell ref="A1:O1"/>
    <mergeCell ref="A2:E2"/>
    <mergeCell ref="G2:J2"/>
    <mergeCell ref="B3:E3"/>
    <mergeCell ref="H3:J3"/>
    <mergeCell ref="A9:C9"/>
    <mergeCell ref="A11:A15"/>
    <mergeCell ref="A16:K16"/>
    <mergeCell ref="A18:C18"/>
    <mergeCell ref="A40:A41"/>
    <mergeCell ref="B40:B41"/>
    <mergeCell ref="C40:C41"/>
    <mergeCell ref="D40:H40"/>
    <mergeCell ref="I40:N40"/>
    <mergeCell ref="B11:B15"/>
    <mergeCell ref="C11:C15"/>
    <mergeCell ref="N42:N44"/>
    <mergeCell ref="A45:A47"/>
    <mergeCell ref="B45:B47"/>
    <mergeCell ref="G45:G47"/>
    <mergeCell ref="H45:H47"/>
    <mergeCell ref="L45:L47"/>
    <mergeCell ref="M45:M47"/>
    <mergeCell ref="N45:N47"/>
    <mergeCell ref="A42:A44"/>
    <mergeCell ref="B42:B44"/>
    <mergeCell ref="G42:G44"/>
    <mergeCell ref="H42:H44"/>
    <mergeCell ref="L42:L44"/>
    <mergeCell ref="M42:M44"/>
    <mergeCell ref="C54:F54"/>
    <mergeCell ref="A55:N55"/>
    <mergeCell ref="A56:A57"/>
    <mergeCell ref="B56:B57"/>
    <mergeCell ref="C56:C57"/>
    <mergeCell ref="D56:H56"/>
    <mergeCell ref="I56:N56"/>
    <mergeCell ref="N48:N50"/>
    <mergeCell ref="A51:A53"/>
    <mergeCell ref="B51:B53"/>
    <mergeCell ref="G51:G53"/>
    <mergeCell ref="H51:H53"/>
    <mergeCell ref="L51:L53"/>
    <mergeCell ref="M51:M53"/>
    <mergeCell ref="N51:N53"/>
    <mergeCell ref="A48:A50"/>
    <mergeCell ref="B48:B50"/>
    <mergeCell ref="G48:G50"/>
    <mergeCell ref="H48:H50"/>
    <mergeCell ref="L48:L50"/>
    <mergeCell ref="M48:M50"/>
    <mergeCell ref="L58:L60"/>
    <mergeCell ref="J69:N69"/>
    <mergeCell ref="A68:H68"/>
    <mergeCell ref="A70:B70"/>
    <mergeCell ref="A71:B71"/>
    <mergeCell ref="G58:G60"/>
    <mergeCell ref="H58:H60"/>
    <mergeCell ref="N61:N63"/>
    <mergeCell ref="N64:N66"/>
    <mergeCell ref="M58:M60"/>
    <mergeCell ref="M61:M63"/>
    <mergeCell ref="M64:M66"/>
    <mergeCell ref="N58:N60"/>
    <mergeCell ref="A58:A60"/>
    <mergeCell ref="A72:B72"/>
    <mergeCell ref="A61:A63"/>
    <mergeCell ref="A64:A66"/>
    <mergeCell ref="A69:B69"/>
    <mergeCell ref="L61:L63"/>
    <mergeCell ref="L64:L66"/>
    <mergeCell ref="G61:G63"/>
    <mergeCell ref="G64:G66"/>
    <mergeCell ref="H61:H63"/>
    <mergeCell ref="H64:H66"/>
  </mergeCells>
  <pageMargins left="0.70866141732283472" right="0.70866141732283472" top="0.74803149606299213" bottom="0.74803149606299213" header="0.31496062992125984" footer="0.31496062992125984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E9"/>
  <sheetViews>
    <sheetView workbookViewId="0">
      <selection activeCell="F9" sqref="F9"/>
    </sheetView>
  </sheetViews>
  <sheetFormatPr defaultRowHeight="15" x14ac:dyDescent="0.25"/>
  <cols>
    <col min="4" max="4" width="22" customWidth="1"/>
    <col min="5" max="5" width="30.42578125" customWidth="1"/>
  </cols>
  <sheetData>
    <row r="2" spans="4:5" ht="15.75" thickBot="1" x14ac:dyDescent="0.3"/>
    <row r="3" spans="4:5" ht="15.75" thickBot="1" x14ac:dyDescent="0.3">
      <c r="E3" s="3"/>
    </row>
    <row r="4" spans="4:5" ht="15.75" thickBot="1" x14ac:dyDescent="0.3">
      <c r="D4" s="3" t="s">
        <v>25</v>
      </c>
      <c r="E4" s="2" t="s">
        <v>54</v>
      </c>
    </row>
    <row r="5" spans="4:5" ht="15.75" thickBot="1" x14ac:dyDescent="0.3">
      <c r="D5" s="2">
        <v>-0.44619999999999999</v>
      </c>
      <c r="E5" s="44">
        <f>'Accuracy Calculation sheet '!N42</f>
        <v>13.530555555555557</v>
      </c>
    </row>
    <row r="6" spans="4:5" ht="15.75" thickBot="1" x14ac:dyDescent="0.3">
      <c r="D6" s="2">
        <v>-0.22239999999999999</v>
      </c>
      <c r="E6" s="4">
        <f>'Accuracy Calculation sheet '!N45</f>
        <v>14.310555555555556</v>
      </c>
    </row>
    <row r="7" spans="4:5" ht="15.75" thickBot="1" x14ac:dyDescent="0.3">
      <c r="D7" s="2">
        <f>'Accuracy Calculation sheet '!B54</f>
        <v>-1E-3</v>
      </c>
      <c r="E7" s="4">
        <f>'Accuracy Calculation sheet '!N54</f>
        <v>14.442777777777778</v>
      </c>
    </row>
    <row r="8" spans="4:5" ht="15.75" thickBot="1" x14ac:dyDescent="0.3">
      <c r="D8" s="2">
        <v>0.22359999999999999</v>
      </c>
      <c r="E8" s="4">
        <f>'Accuracy Calculation sheet '!N48</f>
        <v>15.157222222222224</v>
      </c>
    </row>
    <row r="9" spans="4:5" ht="15.75" thickBot="1" x14ac:dyDescent="0.3">
      <c r="D9" s="2">
        <v>0.44469999999999998</v>
      </c>
      <c r="E9" s="4">
        <f>'Accuracy Calculation sheet '!N51</f>
        <v>15.953888888888885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 Calculation sheet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Nayan</dc:creator>
  <cp:lastModifiedBy>Patel, Deepmala</cp:lastModifiedBy>
  <cp:lastPrinted>2021-02-18T09:19:29Z</cp:lastPrinted>
  <dcterms:created xsi:type="dcterms:W3CDTF">2016-06-02T04:18:05Z</dcterms:created>
  <dcterms:modified xsi:type="dcterms:W3CDTF">2026-06-24T09:42:07Z</dcterms:modified>
</cp:coreProperties>
</file>