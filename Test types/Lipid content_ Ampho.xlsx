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0007977\Desktop\Calculation sheet_AD_NDDS\"/>
    </mc:Choice>
  </mc:AlternateContent>
  <bookViews>
    <workbookView xWindow="0" yWindow="0" windowWidth="28800" windowHeight="12180" tabRatio="839"/>
  </bookViews>
  <sheets>
    <sheet name="PTF_142HIN-400-A" sheetId="212" r:id="rId1"/>
  </sheets>
  <definedNames>
    <definedName name="_xlnm.Print_Area" localSheetId="0">'PTF_142HIN-400-A'!$A$1:$J$65</definedName>
  </definedNames>
  <calcPr calcId="162913"/>
</workbook>
</file>

<file path=xl/calcChain.xml><?xml version="1.0" encoding="utf-8"?>
<calcChain xmlns="http://schemas.openxmlformats.org/spreadsheetml/2006/main">
  <c r="B10" i="212" l="1"/>
  <c r="D59" i="212" l="1"/>
  <c r="A59" i="212"/>
  <c r="D58" i="212"/>
  <c r="A58" i="212"/>
  <c r="D57" i="212"/>
  <c r="D56" i="212"/>
  <c r="A56" i="212"/>
  <c r="E53" i="212"/>
  <c r="D53" i="212"/>
  <c r="C53" i="212"/>
  <c r="B53" i="212"/>
  <c r="E47" i="212"/>
  <c r="D47" i="212"/>
  <c r="C47" i="212"/>
  <c r="B47" i="212"/>
  <c r="E46" i="212"/>
  <c r="D46" i="212"/>
  <c r="C46" i="212"/>
  <c r="B46" i="212"/>
  <c r="E39" i="212"/>
  <c r="D39" i="212"/>
  <c r="B39" i="212"/>
  <c r="E36" i="212"/>
  <c r="D36" i="212"/>
  <c r="C36" i="212"/>
  <c r="B36" i="212"/>
  <c r="E35" i="212"/>
  <c r="D35" i="212"/>
  <c r="C35" i="212"/>
  <c r="B35" i="212"/>
  <c r="E27" i="212"/>
  <c r="C27" i="212"/>
  <c r="C39" i="212" s="1"/>
  <c r="B27" i="212"/>
  <c r="A53" i="212"/>
  <c r="B6" i="212"/>
  <c r="E48" i="212" l="1"/>
  <c r="E58" i="212"/>
  <c r="D37" i="212"/>
  <c r="B48" i="212"/>
  <c r="C48" i="212"/>
  <c r="E56" i="212"/>
  <c r="E57" i="212"/>
  <c r="B37" i="212"/>
  <c r="D48" i="212"/>
  <c r="E59" i="212"/>
  <c r="C37" i="212"/>
  <c r="E37" i="212"/>
  <c r="A57" i="212"/>
</calcChain>
</file>

<file path=xl/sharedStrings.xml><?xml version="1.0" encoding="utf-8"?>
<sst xmlns="http://schemas.openxmlformats.org/spreadsheetml/2006/main" count="80" uniqueCount="58">
  <si>
    <t>Mean</t>
  </si>
  <si>
    <t>SD</t>
  </si>
  <si>
    <t>% RSD</t>
  </si>
  <si>
    <t>Injection No.</t>
  </si>
  <si>
    <t>Vol</t>
  </si>
  <si>
    <t>Pip</t>
  </si>
  <si>
    <t>Sample Weight</t>
  </si>
  <si>
    <t>Avg Weight</t>
  </si>
  <si>
    <t>LC</t>
  </si>
  <si>
    <t>Area</t>
  </si>
  <si>
    <t>Area-1</t>
  </si>
  <si>
    <t>Area-2</t>
  </si>
  <si>
    <t>% Assay</t>
  </si>
  <si>
    <t>Avg. Area</t>
  </si>
  <si>
    <t>BKT Injection No.</t>
  </si>
  <si>
    <t>TRF No.</t>
  </si>
  <si>
    <t>AR No.</t>
  </si>
  <si>
    <t>Weight in mg</t>
  </si>
  <si>
    <t>Date</t>
  </si>
  <si>
    <t>Checked By</t>
  </si>
  <si>
    <t>Analyzed By</t>
  </si>
  <si>
    <t>Packing Detail</t>
  </si>
  <si>
    <t>Batch No.</t>
  </si>
  <si>
    <t>Potency</t>
  </si>
  <si>
    <t>Standard Detail</t>
  </si>
  <si>
    <t>BKT Standard Detail</t>
  </si>
  <si>
    <t>Analytical Development</t>
  </si>
  <si>
    <t>Generic Name</t>
  </si>
  <si>
    <t>Product Name</t>
  </si>
  <si>
    <t>Test</t>
  </si>
  <si>
    <t>Analysis as per</t>
  </si>
  <si>
    <t>Analysed By</t>
  </si>
  <si>
    <t>Instrument Id.</t>
  </si>
  <si>
    <t>Date of Analysis</t>
  </si>
  <si>
    <t>Standard Details</t>
  </si>
  <si>
    <t>Sample Details</t>
  </si>
  <si>
    <t>Compound Name</t>
  </si>
  <si>
    <t>Sorage Condition</t>
  </si>
  <si>
    <t>Assay Calculation Sheet</t>
  </si>
  <si>
    <t>Emcure</t>
  </si>
  <si>
    <t>Cholesterol</t>
  </si>
  <si>
    <t>M.W of Base</t>
  </si>
  <si>
    <t>M.W. of Salt</t>
  </si>
  <si>
    <t>DSPG</t>
  </si>
  <si>
    <t>Alpha tocopherol</t>
  </si>
  <si>
    <t>HSPC</t>
  </si>
  <si>
    <t xml:space="preserve">DSPG </t>
  </si>
  <si>
    <t>Cholesterol,alpha tocopherol,DSPG,HSPC</t>
  </si>
  <si>
    <t>Glass Vial</t>
  </si>
  <si>
    <t>R &amp; D Ahmedabad</t>
  </si>
  <si>
    <t>Amphotericin B Liposome for Injection, 50mg/vial</t>
  </si>
  <si>
    <t>QC-DP-MOA-066-06</t>
  </si>
  <si>
    <t>Aditi Thaker</t>
  </si>
  <si>
    <t>Initial</t>
  </si>
  <si>
    <t>PTF_142HIN-400-A</t>
  </si>
  <si>
    <t>TRF-033-26-028</t>
  </si>
  <si>
    <t>AD/045/26/0316</t>
  </si>
  <si>
    <t>AD/HPLC/044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</si>
</sst>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6"/>
      <color rgb="FFFF000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Protection="1">
      <protection hidden="1"/>
    </xf>
    <xf numFmtId="0" fontId="2" fillId="0" borderId="0" xfId="0" applyFont="1" applyFill="1" applyProtection="1">
      <protection hidden="1"/>
    </xf>
    <xf numFmtId="0" fontId="4" fillId="2" borderId="1" xfId="0" applyFont="1" applyFill="1" applyBorder="1" applyAlignment="1" applyProtection="1">
      <alignment vertical="center"/>
      <protection hidden="1"/>
    </xf>
    <xf numFmtId="0" fontId="4" fillId="2" borderId="1" xfId="0" applyFont="1" applyFill="1" applyBorder="1" applyAlignment="1" applyProtection="1">
      <alignment horizontal="left" vertical="center"/>
      <protection hidden="1"/>
    </xf>
    <xf numFmtId="0" fontId="0" fillId="0" borderId="0" xfId="0" applyFill="1" applyBorder="1" applyProtection="1"/>
    <xf numFmtId="0" fontId="0" fillId="0" borderId="0" xfId="0" applyProtection="1"/>
    <xf numFmtId="0" fontId="1" fillId="0" borderId="0" xfId="0" applyFont="1" applyProtection="1"/>
    <xf numFmtId="0" fontId="1" fillId="0" borderId="0" xfId="0" applyFont="1" applyAlignment="1" applyProtection="1">
      <alignment horizontal="center"/>
    </xf>
    <xf numFmtId="0" fontId="0" fillId="0" borderId="0" xfId="0" applyFont="1" applyProtection="1"/>
    <xf numFmtId="0" fontId="0" fillId="0" borderId="0" xfId="0" applyFont="1" applyBorder="1" applyProtection="1"/>
    <xf numFmtId="0" fontId="0" fillId="0" borderId="0" xfId="0" applyFont="1" applyBorder="1" applyAlignment="1" applyProtection="1">
      <alignment horizont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6" fillId="0" borderId="0" xfId="0" applyFont="1" applyProtection="1"/>
    <xf numFmtId="0" fontId="6" fillId="3" borderId="3" xfId="0" applyFont="1" applyFill="1" applyBorder="1" applyAlignment="1" applyProtection="1">
      <alignment horizontal="center" vertical="center" wrapText="1"/>
      <protection locked="0"/>
    </xf>
    <xf numFmtId="2" fontId="6" fillId="3" borderId="1" xfId="0" applyNumberFormat="1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left" wrapText="1"/>
    </xf>
    <xf numFmtId="0" fontId="6" fillId="0" borderId="0" xfId="0" applyFont="1" applyBorder="1" applyAlignment="1" applyProtection="1">
      <alignment horizontal="left" wrapText="1"/>
    </xf>
    <xf numFmtId="0" fontId="6" fillId="0" borderId="0" xfId="0" applyFont="1" applyBorder="1" applyAlignment="1" applyProtection="1">
      <alignment horizontal="center"/>
    </xf>
    <xf numFmtId="0" fontId="4" fillId="0" borderId="1" xfId="0" applyFont="1" applyFill="1" applyBorder="1" applyAlignment="1" applyProtection="1">
      <alignment horizontal="center" wrapText="1"/>
    </xf>
    <xf numFmtId="0" fontId="4" fillId="0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/>
      <protection locked="0"/>
    </xf>
    <xf numFmtId="1" fontId="6" fillId="3" borderId="1" xfId="0" applyNumberFormat="1" applyFont="1" applyFill="1" applyBorder="1" applyAlignment="1" applyProtection="1">
      <alignment horizontal="center"/>
      <protection locked="0"/>
    </xf>
    <xf numFmtId="164" fontId="6" fillId="0" borderId="1" xfId="0" applyNumberFormat="1" applyFont="1" applyFill="1" applyBorder="1" applyAlignment="1" applyProtection="1">
      <alignment horizontal="center"/>
    </xf>
    <xf numFmtId="1" fontId="6" fillId="3" borderId="1" xfId="0" applyNumberFormat="1" applyFont="1" applyFill="1" applyBorder="1" applyAlignment="1" applyProtection="1">
      <alignment horizontal="center"/>
    </xf>
    <xf numFmtId="164" fontId="6" fillId="3" borderId="1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Protection="1"/>
    <xf numFmtId="0" fontId="6" fillId="0" borderId="0" xfId="0" applyFont="1" applyFill="1" applyBorder="1" applyAlignment="1" applyProtection="1">
      <alignment horizontal="center"/>
    </xf>
    <xf numFmtId="0" fontId="6" fillId="0" borderId="0" xfId="0" applyFont="1" applyBorder="1" applyProtection="1"/>
    <xf numFmtId="0" fontId="4" fillId="0" borderId="4" xfId="0" applyFont="1" applyFill="1" applyBorder="1" applyAlignment="1" applyProtection="1">
      <alignment wrapText="1"/>
    </xf>
    <xf numFmtId="0" fontId="4" fillId="0" borderId="4" xfId="0" applyFont="1" applyFill="1" applyBorder="1" applyAlignment="1" applyProtection="1">
      <alignment vertical="center" wrapText="1"/>
    </xf>
    <xf numFmtId="0" fontId="4" fillId="0" borderId="4" xfId="0" applyFont="1" applyFill="1" applyBorder="1" applyAlignment="1" applyProtection="1">
      <alignment horizontal="center" vertical="center"/>
    </xf>
    <xf numFmtId="164" fontId="6" fillId="0" borderId="4" xfId="0" applyNumberFormat="1" applyFont="1" applyFill="1" applyBorder="1" applyAlignment="1" applyProtection="1"/>
    <xf numFmtId="0" fontId="6" fillId="0" borderId="1" xfId="0" applyFont="1" applyBorder="1" applyAlignment="1" applyProtection="1">
      <alignment horizontal="center" vertical="center" wrapText="1"/>
    </xf>
    <xf numFmtId="0" fontId="6" fillId="0" borderId="0" xfId="0" applyFont="1" applyBorder="1" applyAlignment="1" applyProtection="1">
      <alignment horizontal="center" vertical="center" wrapText="1"/>
    </xf>
    <xf numFmtId="0" fontId="6" fillId="0" borderId="0" xfId="0" applyFont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 wrapText="1"/>
    </xf>
    <xf numFmtId="1" fontId="6" fillId="0" borderId="1" xfId="0" applyNumberFormat="1" applyFont="1" applyFill="1" applyBorder="1" applyAlignment="1" applyProtection="1">
      <alignment horizontal="center" vertical="center"/>
    </xf>
    <xf numFmtId="164" fontId="4" fillId="0" borderId="1" xfId="0" applyNumberFormat="1" applyFont="1" applyFill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/>
    </xf>
    <xf numFmtId="0" fontId="6" fillId="0" borderId="1" xfId="0" applyFont="1" applyBorder="1" applyAlignment="1" applyProtection="1">
      <alignment horizontal="center"/>
    </xf>
    <xf numFmtId="0" fontId="0" fillId="0" borderId="0" xfId="0" applyFont="1" applyAlignment="1" applyProtection="1">
      <alignment horizontal="center"/>
    </xf>
    <xf numFmtId="0" fontId="4" fillId="0" borderId="4" xfId="0" applyFont="1" applyFill="1" applyBorder="1" applyAlignment="1" applyProtection="1">
      <alignment horizontal="center" vertical="center"/>
      <protection hidden="1"/>
    </xf>
    <xf numFmtId="0" fontId="4" fillId="0" borderId="6" xfId="0" applyFont="1" applyFill="1" applyBorder="1" applyAlignment="1" applyProtection="1">
      <alignment horizontal="center" vertical="center"/>
      <protection hidden="1"/>
    </xf>
    <xf numFmtId="0" fontId="4" fillId="0" borderId="5" xfId="0" applyFont="1" applyFill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/>
    </xf>
    <xf numFmtId="0" fontId="6" fillId="0" borderId="5" xfId="0" applyFont="1" applyBorder="1" applyAlignment="1" applyProtection="1">
      <alignment horizontal="center"/>
    </xf>
    <xf numFmtId="0" fontId="6" fillId="3" borderId="4" xfId="0" applyFont="1" applyFill="1" applyBorder="1" applyAlignment="1" applyProtection="1">
      <alignment horizontal="center"/>
      <protection locked="0"/>
    </xf>
    <xf numFmtId="0" fontId="6" fillId="3" borderId="5" xfId="0" applyFont="1" applyFill="1" applyBorder="1" applyAlignment="1" applyProtection="1">
      <alignment horizontal="center"/>
      <protection locked="0"/>
    </xf>
    <xf numFmtId="0" fontId="2" fillId="3" borderId="4" xfId="0" quotePrefix="1" applyFont="1" applyFill="1" applyBorder="1" applyAlignment="1" applyProtection="1">
      <alignment horizontal="left" vertical="center"/>
      <protection locked="0"/>
    </xf>
    <xf numFmtId="0" fontId="2" fillId="3" borderId="6" xfId="0" applyFont="1" applyFill="1" applyBorder="1" applyAlignment="1" applyProtection="1">
      <alignment horizontal="left" vertical="center"/>
      <protection locked="0"/>
    </xf>
    <xf numFmtId="0" fontId="2" fillId="3" borderId="5" xfId="0" applyFont="1" applyFill="1" applyBorder="1" applyAlignment="1" applyProtection="1">
      <alignment horizontal="left" vertical="center"/>
      <protection locked="0"/>
    </xf>
    <xf numFmtId="0" fontId="2" fillId="3" borderId="4" xfId="0" applyFont="1" applyFill="1" applyBorder="1" applyAlignment="1" applyProtection="1">
      <alignment horizontal="left" vertical="center"/>
      <protection locked="0"/>
    </xf>
    <xf numFmtId="15" fontId="2" fillId="3" borderId="4" xfId="0" quotePrefix="1" applyNumberFormat="1" applyFont="1" applyFill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center"/>
      <protection hidden="1"/>
    </xf>
    <xf numFmtId="0" fontId="3" fillId="0" borderId="0" xfId="0" applyFont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66"/>
      <color rgb="FFB8CCE4"/>
      <color rgb="FFFCD5B4"/>
      <color rgb="FFFF99CC"/>
      <color rgb="FF92D05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4"/>
  <sheetViews>
    <sheetView tabSelected="1" topLeftCell="A7" zoomScale="85" zoomScaleNormal="85" zoomScaleSheetLayoutView="70" workbookViewId="0">
      <selection activeCell="C60" sqref="C60"/>
    </sheetView>
  </sheetViews>
  <sheetFormatPr defaultColWidth="9.140625" defaultRowHeight="17.100000000000001" customHeight="1" x14ac:dyDescent="0.25"/>
  <cols>
    <col min="1" max="1" width="24.85546875" style="7" bestFit="1" customWidth="1"/>
    <col min="2" max="2" width="22.140625" style="7" customWidth="1"/>
    <col min="3" max="3" width="23.42578125" style="7" customWidth="1"/>
    <col min="4" max="4" width="20.85546875" style="7" customWidth="1"/>
    <col min="5" max="5" width="17.28515625" style="7" customWidth="1"/>
    <col min="6" max="6" width="14.85546875" style="7" customWidth="1"/>
    <col min="7" max="7" width="12.5703125" style="8" customWidth="1"/>
    <col min="8" max="8" width="13.5703125" style="7" customWidth="1"/>
    <col min="9" max="9" width="14.5703125" style="7" customWidth="1"/>
    <col min="10" max="10" width="14.28515625" style="7" customWidth="1"/>
    <col min="11" max="11" width="18.28515625" style="7" customWidth="1"/>
    <col min="12" max="16384" width="9.140625" style="7"/>
  </cols>
  <sheetData>
    <row r="1" spans="1:11" s="1" customFormat="1" ht="21" customHeight="1" x14ac:dyDescent="0.3">
      <c r="A1" s="56" t="s">
        <v>39</v>
      </c>
      <c r="B1" s="57"/>
      <c r="C1" s="57"/>
      <c r="D1" s="57"/>
      <c r="E1" s="57"/>
      <c r="F1" s="57"/>
      <c r="G1" s="57"/>
      <c r="H1" s="57"/>
      <c r="I1" s="57"/>
      <c r="J1" s="57"/>
    </row>
    <row r="2" spans="1:11" s="1" customFormat="1" ht="17.100000000000001" customHeight="1" x14ac:dyDescent="0.25">
      <c r="A2" s="57" t="s">
        <v>49</v>
      </c>
      <c r="B2" s="57"/>
      <c r="C2" s="57"/>
      <c r="D2" s="57"/>
      <c r="E2" s="57"/>
      <c r="F2" s="57"/>
      <c r="G2" s="57"/>
      <c r="H2" s="57"/>
      <c r="I2" s="57"/>
      <c r="J2" s="57"/>
    </row>
    <row r="3" spans="1:11" s="1" customFormat="1" ht="17.100000000000001" customHeight="1" x14ac:dyDescent="0.25">
      <c r="A3" s="57" t="s">
        <v>26</v>
      </c>
      <c r="B3" s="57"/>
      <c r="C3" s="57"/>
      <c r="D3" s="57"/>
      <c r="E3" s="57"/>
      <c r="F3" s="57"/>
      <c r="G3" s="57"/>
      <c r="H3" s="57"/>
      <c r="I3" s="57"/>
      <c r="J3" s="57"/>
    </row>
    <row r="4" spans="1:11" s="6" customFormat="1" ht="17.100000000000001" customHeight="1" x14ac:dyDescent="0.25">
      <c r="A4" s="57" t="s">
        <v>38</v>
      </c>
      <c r="B4" s="57"/>
      <c r="C4" s="57"/>
      <c r="D4" s="57"/>
      <c r="E4" s="57"/>
      <c r="F4" s="57"/>
      <c r="G4" s="57"/>
      <c r="H4" s="57"/>
      <c r="I4" s="57"/>
      <c r="J4" s="57"/>
      <c r="K4" s="5"/>
    </row>
    <row r="5" spans="1:11" s="1" customFormat="1" ht="17.100000000000001" customHeight="1" x14ac:dyDescent="0.2">
      <c r="A5" s="3" t="s">
        <v>27</v>
      </c>
      <c r="B5" s="55" t="s">
        <v>50</v>
      </c>
      <c r="C5" s="55"/>
      <c r="D5" s="55"/>
      <c r="E5" s="55"/>
      <c r="F5" s="55"/>
      <c r="G5" s="55"/>
      <c r="H5" s="55"/>
      <c r="I5" s="55"/>
      <c r="J5" s="55"/>
    </row>
    <row r="6" spans="1:11" s="1" customFormat="1" ht="17.100000000000001" customHeight="1" x14ac:dyDescent="0.2">
      <c r="A6" s="3" t="s">
        <v>28</v>
      </c>
      <c r="B6" s="55" t="str">
        <f>B5</f>
        <v>Amphotericin B Liposome for Injection, 50mg/vial</v>
      </c>
      <c r="C6" s="55"/>
      <c r="D6" s="55"/>
      <c r="E6" s="55"/>
      <c r="F6" s="55"/>
      <c r="G6" s="55"/>
      <c r="H6" s="55"/>
      <c r="I6" s="55"/>
      <c r="J6" s="55"/>
    </row>
    <row r="7" spans="1:11" s="1" customFormat="1" ht="17.100000000000001" customHeight="1" x14ac:dyDescent="0.2">
      <c r="A7" s="3" t="s">
        <v>22</v>
      </c>
      <c r="B7" s="50" t="s">
        <v>54</v>
      </c>
      <c r="C7" s="51"/>
      <c r="D7" s="51"/>
      <c r="E7" s="51"/>
      <c r="F7" s="51"/>
      <c r="G7" s="51"/>
      <c r="H7" s="51"/>
      <c r="I7" s="51"/>
      <c r="J7" s="52"/>
    </row>
    <row r="8" spans="1:11" s="1" customFormat="1" ht="17.100000000000001" customHeight="1" x14ac:dyDescent="0.2">
      <c r="A8" s="3" t="s">
        <v>15</v>
      </c>
      <c r="B8" s="53" t="s">
        <v>55</v>
      </c>
      <c r="C8" s="51"/>
      <c r="D8" s="51"/>
      <c r="E8" s="51"/>
      <c r="F8" s="51"/>
      <c r="G8" s="51"/>
      <c r="H8" s="51"/>
      <c r="I8" s="51"/>
      <c r="J8" s="52"/>
    </row>
    <row r="9" spans="1:11" s="1" customFormat="1" ht="17.100000000000001" customHeight="1" x14ac:dyDescent="0.2">
      <c r="A9" s="3" t="s">
        <v>16</v>
      </c>
      <c r="B9" s="53" t="s">
        <v>56</v>
      </c>
      <c r="C9" s="51"/>
      <c r="D9" s="51"/>
      <c r="E9" s="51"/>
      <c r="F9" s="51"/>
      <c r="G9" s="51"/>
      <c r="H9" s="51"/>
      <c r="I9" s="51"/>
      <c r="J9" s="52"/>
    </row>
    <row r="10" spans="1:11" s="1" customFormat="1" ht="17.100000000000001" customHeight="1" x14ac:dyDescent="0.2">
      <c r="A10" s="3" t="s">
        <v>22</v>
      </c>
      <c r="B10" s="50" t="str">
        <f>B7</f>
        <v>PTF_142HIN-400-A</v>
      </c>
      <c r="C10" s="51"/>
      <c r="D10" s="51"/>
      <c r="E10" s="51"/>
      <c r="F10" s="51"/>
      <c r="G10" s="51"/>
      <c r="H10" s="51"/>
      <c r="I10" s="51"/>
      <c r="J10" s="52"/>
    </row>
    <row r="11" spans="1:11" s="1" customFormat="1" ht="16.5" customHeight="1" x14ac:dyDescent="0.2">
      <c r="A11" s="3" t="s">
        <v>37</v>
      </c>
      <c r="B11" s="53" t="s">
        <v>53</v>
      </c>
      <c r="C11" s="51"/>
      <c r="D11" s="51"/>
      <c r="E11" s="51"/>
      <c r="F11" s="51"/>
      <c r="G11" s="51"/>
      <c r="H11" s="51"/>
      <c r="I11" s="51"/>
      <c r="J11" s="52"/>
    </row>
    <row r="12" spans="1:11" s="1" customFormat="1" ht="16.5" customHeight="1" x14ac:dyDescent="0.2">
      <c r="A12" s="3" t="s">
        <v>21</v>
      </c>
      <c r="B12" s="53" t="s">
        <v>48</v>
      </c>
      <c r="C12" s="51"/>
      <c r="D12" s="51"/>
      <c r="E12" s="51"/>
      <c r="F12" s="51"/>
      <c r="G12" s="51"/>
      <c r="H12" s="51"/>
      <c r="I12" s="51"/>
      <c r="J12" s="52"/>
    </row>
    <row r="13" spans="1:11" s="2" customFormat="1" ht="17.100000000000001" customHeight="1" x14ac:dyDescent="0.2">
      <c r="A13" s="3" t="s">
        <v>29</v>
      </c>
      <c r="B13" s="53" t="s">
        <v>47</v>
      </c>
      <c r="C13" s="51"/>
      <c r="D13" s="51"/>
      <c r="E13" s="51"/>
      <c r="F13" s="51"/>
      <c r="G13" s="51"/>
      <c r="H13" s="51"/>
      <c r="I13" s="51"/>
      <c r="J13" s="52"/>
    </row>
    <row r="14" spans="1:11" s="2" customFormat="1" ht="17.100000000000001" customHeight="1" x14ac:dyDescent="0.2">
      <c r="A14" s="4" t="s">
        <v>30</v>
      </c>
      <c r="B14" s="53" t="s">
        <v>51</v>
      </c>
      <c r="C14" s="51"/>
      <c r="D14" s="51"/>
      <c r="E14" s="51"/>
      <c r="F14" s="51"/>
      <c r="G14" s="51"/>
      <c r="H14" s="51"/>
      <c r="I14" s="51"/>
      <c r="J14" s="52"/>
    </row>
    <row r="15" spans="1:11" s="1" customFormat="1" ht="17.100000000000001" customHeight="1" x14ac:dyDescent="0.2">
      <c r="A15" s="3" t="s">
        <v>31</v>
      </c>
      <c r="B15" s="53" t="s">
        <v>52</v>
      </c>
      <c r="C15" s="51"/>
      <c r="D15" s="51"/>
      <c r="E15" s="51"/>
      <c r="F15" s="51"/>
      <c r="G15" s="51"/>
      <c r="H15" s="51"/>
      <c r="I15" s="51"/>
      <c r="J15" s="52"/>
    </row>
    <row r="16" spans="1:11" s="1" customFormat="1" ht="17.100000000000001" customHeight="1" x14ac:dyDescent="0.2">
      <c r="A16" s="3" t="s">
        <v>32</v>
      </c>
      <c r="B16" s="53" t="s">
        <v>57</v>
      </c>
      <c r="C16" s="51"/>
      <c r="D16" s="51"/>
      <c r="E16" s="51"/>
      <c r="F16" s="51"/>
      <c r="G16" s="51"/>
      <c r="H16" s="51"/>
      <c r="I16" s="51"/>
      <c r="J16" s="52"/>
    </row>
    <row r="17" spans="1:10" s="1" customFormat="1" ht="17.100000000000001" customHeight="1" x14ac:dyDescent="0.2">
      <c r="A17" s="3" t="s">
        <v>33</v>
      </c>
      <c r="B17" s="54">
        <v>46188</v>
      </c>
      <c r="C17" s="51"/>
      <c r="D17" s="51"/>
      <c r="E17" s="51"/>
      <c r="F17" s="51"/>
      <c r="G17" s="51"/>
      <c r="H17" s="51"/>
      <c r="I17" s="51"/>
      <c r="J17" s="52"/>
    </row>
    <row r="19" spans="1:10" ht="17.100000000000001" customHeight="1" x14ac:dyDescent="0.25">
      <c r="A19" s="43" t="s">
        <v>34</v>
      </c>
      <c r="B19" s="44"/>
      <c r="C19" s="44"/>
      <c r="D19" s="44"/>
      <c r="E19" s="44"/>
      <c r="F19" s="44"/>
      <c r="G19" s="44"/>
      <c r="H19" s="44"/>
      <c r="I19" s="44"/>
      <c r="J19" s="45"/>
    </row>
    <row r="20" spans="1:10" ht="17.100000000000001" customHeight="1" x14ac:dyDescent="0.25">
      <c r="A20" s="9"/>
      <c r="B20" s="10"/>
      <c r="C20" s="10"/>
      <c r="D20" s="10"/>
      <c r="E20" s="10"/>
      <c r="F20" s="10"/>
      <c r="G20" s="11"/>
      <c r="H20" s="10"/>
      <c r="I20" s="10"/>
      <c r="J20" s="10"/>
    </row>
    <row r="21" spans="1:10" ht="34.5" customHeight="1" x14ac:dyDescent="0.25">
      <c r="A21" s="12" t="s">
        <v>36</v>
      </c>
      <c r="B21" s="12" t="s">
        <v>17</v>
      </c>
      <c r="C21" s="12" t="s">
        <v>4</v>
      </c>
      <c r="D21" s="12" t="s">
        <v>5</v>
      </c>
      <c r="E21" s="12" t="s">
        <v>4</v>
      </c>
      <c r="F21" s="12" t="s">
        <v>23</v>
      </c>
      <c r="G21" s="12" t="s">
        <v>8</v>
      </c>
      <c r="H21" s="12" t="s">
        <v>41</v>
      </c>
      <c r="I21" s="12" t="s">
        <v>42</v>
      </c>
      <c r="J21" s="13"/>
    </row>
    <row r="22" spans="1:10" ht="17.100000000000001" customHeight="1" x14ac:dyDescent="0.25">
      <c r="A22" s="14" t="s">
        <v>40</v>
      </c>
      <c r="B22" s="15">
        <v>21.04</v>
      </c>
      <c r="C22" s="16">
        <v>100</v>
      </c>
      <c r="D22" s="16">
        <v>1</v>
      </c>
      <c r="E22" s="16">
        <v>1</v>
      </c>
      <c r="F22" s="16">
        <v>99.68</v>
      </c>
      <c r="G22" s="16">
        <v>52</v>
      </c>
      <c r="H22" s="16">
        <v>1</v>
      </c>
      <c r="I22" s="16">
        <v>1</v>
      </c>
      <c r="J22" s="13"/>
    </row>
    <row r="23" spans="1:10" ht="17.100000000000001" customHeight="1" x14ac:dyDescent="0.25">
      <c r="A23" s="14" t="s">
        <v>44</v>
      </c>
      <c r="B23" s="15">
        <v>32.6</v>
      </c>
      <c r="C23" s="16">
        <v>250</v>
      </c>
      <c r="D23" s="16">
        <v>2</v>
      </c>
      <c r="E23" s="16">
        <v>100</v>
      </c>
      <c r="F23" s="16">
        <v>96.4</v>
      </c>
      <c r="G23" s="16">
        <v>0.64</v>
      </c>
      <c r="H23" s="15">
        <v>1</v>
      </c>
      <c r="I23" s="16">
        <v>1</v>
      </c>
      <c r="J23" s="13"/>
    </row>
    <row r="24" spans="1:10" ht="17.100000000000001" customHeight="1" x14ac:dyDescent="0.25">
      <c r="A24" s="14" t="s">
        <v>46</v>
      </c>
      <c r="B24" s="15">
        <v>34.64</v>
      </c>
      <c r="C24" s="16">
        <v>100</v>
      </c>
      <c r="D24" s="16">
        <v>1</v>
      </c>
      <c r="E24" s="16">
        <v>1</v>
      </c>
      <c r="F24" s="16">
        <v>100</v>
      </c>
      <c r="G24" s="16">
        <v>81.599999999999994</v>
      </c>
      <c r="H24" s="15">
        <v>778.07</v>
      </c>
      <c r="I24" s="16">
        <v>801.06</v>
      </c>
      <c r="J24" s="13"/>
    </row>
    <row r="25" spans="1:10" ht="17.100000000000001" customHeight="1" x14ac:dyDescent="0.25">
      <c r="A25" s="14" t="s">
        <v>45</v>
      </c>
      <c r="B25" s="15">
        <v>86.14</v>
      </c>
      <c r="C25" s="16">
        <v>100</v>
      </c>
      <c r="D25" s="16">
        <v>1</v>
      </c>
      <c r="E25" s="16">
        <v>1</v>
      </c>
      <c r="F25" s="16">
        <v>100</v>
      </c>
      <c r="G25" s="16">
        <v>213</v>
      </c>
      <c r="H25" s="16">
        <v>1</v>
      </c>
      <c r="I25" s="16">
        <v>1</v>
      </c>
      <c r="J25" s="13"/>
    </row>
    <row r="26" spans="1:10" ht="17.100000000000001" customHeight="1" x14ac:dyDescent="0.25">
      <c r="A26" s="17"/>
      <c r="B26" s="18"/>
      <c r="C26" s="18"/>
      <c r="D26" s="18"/>
      <c r="E26" s="18"/>
      <c r="F26" s="19"/>
      <c r="G26" s="19"/>
      <c r="H26" s="13"/>
      <c r="I26" s="13"/>
      <c r="J26" s="19"/>
    </row>
    <row r="27" spans="1:10" ht="17.100000000000001" customHeight="1" x14ac:dyDescent="0.25">
      <c r="A27" s="20" t="s">
        <v>24</v>
      </c>
      <c r="B27" s="20" t="str">
        <f>A22</f>
        <v>Cholesterol</v>
      </c>
      <c r="C27" s="20" t="str">
        <f>A23</f>
        <v>Alpha tocopherol</v>
      </c>
      <c r="D27" s="20" t="s">
        <v>43</v>
      </c>
      <c r="E27" s="20" t="str">
        <f>A25</f>
        <v>HSPC</v>
      </c>
      <c r="F27" s="13"/>
      <c r="G27" s="13"/>
      <c r="H27" s="13"/>
      <c r="I27" s="13"/>
      <c r="J27" s="13"/>
    </row>
    <row r="28" spans="1:10" ht="17.100000000000001" customHeight="1" x14ac:dyDescent="0.25">
      <c r="A28" s="12" t="s">
        <v>3</v>
      </c>
      <c r="B28" s="20" t="s">
        <v>9</v>
      </c>
      <c r="C28" s="20" t="s">
        <v>9</v>
      </c>
      <c r="D28" s="20" t="s">
        <v>9</v>
      </c>
      <c r="E28" s="20" t="s">
        <v>9</v>
      </c>
      <c r="F28" s="13"/>
      <c r="G28" s="13"/>
      <c r="H28" s="13"/>
      <c r="I28" s="13"/>
      <c r="J28" s="13"/>
    </row>
    <row r="29" spans="1:10" ht="17.100000000000001" customHeight="1" x14ac:dyDescent="0.25">
      <c r="A29" s="21">
        <v>1</v>
      </c>
      <c r="B29" s="22">
        <v>1570181</v>
      </c>
      <c r="C29" s="22">
        <v>452445</v>
      </c>
      <c r="D29" s="22">
        <v>285731</v>
      </c>
      <c r="E29" s="22">
        <v>753830</v>
      </c>
      <c r="F29" s="13"/>
      <c r="G29" s="13"/>
      <c r="H29" s="13"/>
      <c r="I29" s="13"/>
      <c r="J29" s="13"/>
    </row>
    <row r="30" spans="1:10" ht="17.100000000000001" customHeight="1" x14ac:dyDescent="0.25">
      <c r="A30" s="21">
        <v>2</v>
      </c>
      <c r="B30" s="22">
        <v>1577587</v>
      </c>
      <c r="C30" s="22">
        <v>449480</v>
      </c>
      <c r="D30" s="22">
        <v>287689</v>
      </c>
      <c r="E30" s="22">
        <v>746479</v>
      </c>
      <c r="F30" s="13"/>
      <c r="G30" s="13"/>
      <c r="H30" s="13"/>
      <c r="I30" s="13"/>
      <c r="J30" s="13"/>
    </row>
    <row r="31" spans="1:10" ht="17.100000000000001" customHeight="1" x14ac:dyDescent="0.25">
      <c r="A31" s="21">
        <v>3</v>
      </c>
      <c r="B31" s="22">
        <v>1562804</v>
      </c>
      <c r="C31" s="22">
        <v>461581</v>
      </c>
      <c r="D31" s="22">
        <v>303609</v>
      </c>
      <c r="E31" s="22">
        <v>747087</v>
      </c>
      <c r="F31" s="13"/>
      <c r="G31" s="13"/>
      <c r="H31" s="13"/>
      <c r="I31" s="13"/>
      <c r="J31" s="13"/>
    </row>
    <row r="32" spans="1:10" ht="17.100000000000001" customHeight="1" x14ac:dyDescent="0.25">
      <c r="A32" s="21">
        <v>4</v>
      </c>
      <c r="B32" s="23">
        <v>1573909</v>
      </c>
      <c r="C32" s="23">
        <v>446598</v>
      </c>
      <c r="D32" s="23">
        <v>288077</v>
      </c>
      <c r="E32" s="23">
        <v>750917</v>
      </c>
      <c r="F32" s="13"/>
      <c r="G32" s="13"/>
      <c r="H32" s="13"/>
      <c r="I32" s="13"/>
      <c r="J32" s="13"/>
    </row>
    <row r="33" spans="1:10" ht="17.100000000000001" customHeight="1" x14ac:dyDescent="0.25">
      <c r="A33" s="21">
        <v>5</v>
      </c>
      <c r="B33" s="23">
        <v>1572752</v>
      </c>
      <c r="C33" s="23">
        <v>445784</v>
      </c>
      <c r="D33" s="23">
        <v>290581</v>
      </c>
      <c r="E33" s="23">
        <v>746101</v>
      </c>
      <c r="F33" s="13"/>
      <c r="G33" s="13"/>
      <c r="H33" s="13"/>
      <c r="I33" s="13"/>
      <c r="J33" s="13"/>
    </row>
    <row r="34" spans="1:10" ht="17.100000000000001" customHeight="1" x14ac:dyDescent="0.25">
      <c r="A34" s="21">
        <v>6</v>
      </c>
      <c r="B34" s="23">
        <v>1580004</v>
      </c>
      <c r="C34" s="23">
        <v>453226</v>
      </c>
      <c r="D34" s="23">
        <v>285442</v>
      </c>
      <c r="E34" s="23">
        <v>747486</v>
      </c>
      <c r="F34" s="13"/>
      <c r="G34" s="13"/>
      <c r="H34" s="13"/>
      <c r="I34" s="13"/>
      <c r="J34" s="13"/>
    </row>
    <row r="35" spans="1:10" ht="17.100000000000001" customHeight="1" x14ac:dyDescent="0.25">
      <c r="A35" s="24" t="s">
        <v>0</v>
      </c>
      <c r="B35" s="25">
        <f>AVERAGE(B29:B34)</f>
        <v>1572872.8333333333</v>
      </c>
      <c r="C35" s="25">
        <f>AVERAGE(C29:C34)</f>
        <v>451519</v>
      </c>
      <c r="D35" s="25">
        <f>AVERAGE(D29:D34)</f>
        <v>290188.16666666669</v>
      </c>
      <c r="E35" s="25">
        <f>AVERAGE(E29:E34)</f>
        <v>748650</v>
      </c>
      <c r="F35" s="13"/>
      <c r="G35" s="13"/>
      <c r="H35" s="13"/>
      <c r="I35" s="13"/>
      <c r="J35" s="13"/>
    </row>
    <row r="36" spans="1:10" ht="17.100000000000001" customHeight="1" x14ac:dyDescent="0.25">
      <c r="A36" s="24" t="s">
        <v>1</v>
      </c>
      <c r="B36" s="26">
        <f>STDEV(B29:B34)</f>
        <v>6046.3628543668019</v>
      </c>
      <c r="C36" s="26">
        <f>STDEV(C29:C34)</f>
        <v>5766.7869043341634</v>
      </c>
      <c r="D36" s="26">
        <f>STDEV(D29:D34)</f>
        <v>6831.8134756934533</v>
      </c>
      <c r="E36" s="26">
        <f>STDEV(E29:E34)</f>
        <v>3065.2959400358068</v>
      </c>
      <c r="F36" s="13"/>
      <c r="G36" s="13"/>
      <c r="H36" s="13"/>
      <c r="I36" s="13"/>
      <c r="J36" s="13"/>
    </row>
    <row r="37" spans="1:10" ht="17.100000000000001" customHeight="1" x14ac:dyDescent="0.25">
      <c r="A37" s="24" t="s">
        <v>2</v>
      </c>
      <c r="B37" s="26">
        <f>B36*100/B35</f>
        <v>0.38441523855129223</v>
      </c>
      <c r="C37" s="26">
        <f>C36*100/C35</f>
        <v>1.2771969516973067</v>
      </c>
      <c r="D37" s="26">
        <f>D36*100/D35</f>
        <v>2.3542701806793591</v>
      </c>
      <c r="E37" s="26">
        <f>E36*100/E35</f>
        <v>0.40944312295943458</v>
      </c>
      <c r="F37" s="13"/>
      <c r="G37" s="13"/>
      <c r="H37" s="13"/>
      <c r="I37" s="13"/>
      <c r="J37" s="13"/>
    </row>
    <row r="38" spans="1:10" ht="17.100000000000001" customHeight="1" x14ac:dyDescent="0.25">
      <c r="A38" s="27"/>
      <c r="B38" s="27"/>
      <c r="C38" s="13"/>
      <c r="D38" s="27"/>
      <c r="E38" s="27"/>
      <c r="F38" s="28"/>
      <c r="G38" s="13"/>
      <c r="H38" s="13"/>
      <c r="I38" s="29"/>
      <c r="J38" s="29"/>
    </row>
    <row r="39" spans="1:10" ht="17.100000000000001" customHeight="1" x14ac:dyDescent="0.25">
      <c r="A39" s="30" t="s">
        <v>25</v>
      </c>
      <c r="B39" s="20" t="str">
        <f>A22</f>
        <v>Cholesterol</v>
      </c>
      <c r="C39" s="20" t="str">
        <f>C27</f>
        <v>Alpha tocopherol</v>
      </c>
      <c r="D39" s="20" t="str">
        <f>D27</f>
        <v>DSPG</v>
      </c>
      <c r="E39" s="20" t="str">
        <f>A25</f>
        <v>HSPC</v>
      </c>
      <c r="F39" s="28"/>
      <c r="G39" s="13"/>
      <c r="H39" s="13"/>
      <c r="I39" s="29"/>
      <c r="J39" s="29"/>
    </row>
    <row r="40" spans="1:10" ht="17.100000000000001" customHeight="1" x14ac:dyDescent="0.25">
      <c r="A40" s="31" t="s">
        <v>14</v>
      </c>
      <c r="B40" s="20" t="s">
        <v>9</v>
      </c>
      <c r="C40" s="20" t="s">
        <v>9</v>
      </c>
      <c r="D40" s="20" t="s">
        <v>9</v>
      </c>
      <c r="E40" s="20" t="s">
        <v>9</v>
      </c>
      <c r="F40" s="28"/>
      <c r="G40" s="13"/>
      <c r="H40" s="13"/>
      <c r="I40" s="29"/>
      <c r="J40" s="29"/>
    </row>
    <row r="41" spans="1:10" ht="17.100000000000001" customHeight="1" x14ac:dyDescent="0.25">
      <c r="A41" s="32">
        <v>1</v>
      </c>
      <c r="B41" s="23"/>
      <c r="C41" s="22"/>
      <c r="D41" s="22"/>
      <c r="E41" s="23"/>
      <c r="F41" s="28"/>
      <c r="G41" s="13"/>
      <c r="H41" s="13"/>
      <c r="I41" s="29"/>
      <c r="J41" s="29"/>
    </row>
    <row r="42" spans="1:10" ht="17.100000000000001" customHeight="1" x14ac:dyDescent="0.25">
      <c r="A42" s="32">
        <v>2</v>
      </c>
      <c r="B42" s="22"/>
      <c r="C42" s="22"/>
      <c r="D42" s="22"/>
      <c r="E42" s="22"/>
      <c r="F42" s="28"/>
      <c r="G42" s="13"/>
      <c r="H42" s="13"/>
      <c r="I42" s="29"/>
      <c r="J42" s="29"/>
    </row>
    <row r="43" spans="1:10" ht="17.100000000000001" customHeight="1" x14ac:dyDescent="0.25">
      <c r="A43" s="32">
        <v>3</v>
      </c>
      <c r="B43" s="22"/>
      <c r="C43" s="22"/>
      <c r="D43" s="22"/>
      <c r="E43" s="22"/>
      <c r="F43" s="28"/>
      <c r="G43" s="13"/>
      <c r="H43" s="13"/>
      <c r="I43" s="29"/>
      <c r="J43" s="29"/>
    </row>
    <row r="44" spans="1:10" ht="17.100000000000001" customHeight="1" x14ac:dyDescent="0.25">
      <c r="A44" s="32">
        <v>4</v>
      </c>
      <c r="B44" s="22"/>
      <c r="C44" s="22"/>
      <c r="D44" s="22"/>
      <c r="E44" s="22"/>
      <c r="F44" s="28"/>
      <c r="G44" s="13"/>
      <c r="H44" s="13"/>
      <c r="I44" s="29"/>
      <c r="J44" s="29"/>
    </row>
    <row r="45" spans="1:10" ht="17.100000000000001" customHeight="1" x14ac:dyDescent="0.25">
      <c r="A45" s="32">
        <v>5</v>
      </c>
      <c r="B45" s="22"/>
      <c r="C45" s="22"/>
      <c r="D45" s="22"/>
      <c r="E45" s="22"/>
      <c r="F45" s="28"/>
      <c r="G45" s="13"/>
      <c r="H45" s="13"/>
      <c r="I45" s="29"/>
      <c r="J45" s="29"/>
    </row>
    <row r="46" spans="1:10" ht="17.100000000000001" customHeight="1" x14ac:dyDescent="0.25">
      <c r="A46" s="33" t="s">
        <v>0</v>
      </c>
      <c r="B46" s="25">
        <f>AVERAGE(B41:B45,B29:B34)</f>
        <v>1572872.8333333333</v>
      </c>
      <c r="C46" s="25">
        <f>AVERAGE(C41:C45,C29:C34)</f>
        <v>451519</v>
      </c>
      <c r="D46" s="25">
        <f>AVERAGE(D41:D45,D29:D34)</f>
        <v>290188.16666666669</v>
      </c>
      <c r="E46" s="25">
        <f>AVERAGE(E41:E45,E29:E34)</f>
        <v>748650</v>
      </c>
      <c r="F46" s="28"/>
      <c r="G46" s="13"/>
      <c r="H46" s="13"/>
      <c r="I46" s="29"/>
      <c r="J46" s="29"/>
    </row>
    <row r="47" spans="1:10" ht="17.100000000000001" customHeight="1" x14ac:dyDescent="0.25">
      <c r="A47" s="33" t="s">
        <v>1</v>
      </c>
      <c r="B47" s="26">
        <f>STDEV(B29:B33,B41:B45)</f>
        <v>5517.4331260106819</v>
      </c>
      <c r="C47" s="26">
        <f>STDEV(C29:C33,C41:C45)</f>
        <v>6379.3129959267553</v>
      </c>
      <c r="D47" s="26">
        <f>STDEV(D29:D33,D41:D45)</f>
        <v>7182.2186544270562</v>
      </c>
      <c r="E47" s="26">
        <f>STDEV(E29:E33,E41:E45)</f>
        <v>3367.2808317691588</v>
      </c>
      <c r="F47" s="28"/>
      <c r="G47" s="13"/>
      <c r="H47" s="13"/>
      <c r="I47" s="29"/>
      <c r="J47" s="29"/>
    </row>
    <row r="48" spans="1:10" ht="17.100000000000001" customHeight="1" x14ac:dyDescent="0.25">
      <c r="A48" s="33" t="s">
        <v>2</v>
      </c>
      <c r="B48" s="26">
        <f>B47*100/B46</f>
        <v>0.35078698093588295</v>
      </c>
      <c r="C48" s="26">
        <f>C47*100/C46</f>
        <v>1.4128559365002924</v>
      </c>
      <c r="D48" s="26">
        <f>D47*100/D46</f>
        <v>2.4750212032860479</v>
      </c>
      <c r="E48" s="26">
        <f>E47*100/E46</f>
        <v>0.44978038225728428</v>
      </c>
      <c r="F48" s="28"/>
      <c r="G48" s="13"/>
      <c r="H48" s="13"/>
      <c r="I48" s="29"/>
      <c r="J48" s="29"/>
    </row>
    <row r="49" spans="1:10" ht="17.100000000000001" customHeight="1" x14ac:dyDescent="0.25">
      <c r="A49" s="27"/>
      <c r="B49" s="13"/>
      <c r="C49" s="13"/>
      <c r="D49" s="13"/>
      <c r="E49" s="27"/>
      <c r="F49" s="28"/>
      <c r="G49" s="13"/>
      <c r="H49" s="13"/>
      <c r="I49" s="29"/>
      <c r="J49" s="29"/>
    </row>
    <row r="50" spans="1:10" ht="17.100000000000001" customHeight="1" x14ac:dyDescent="0.25">
      <c r="A50" s="43" t="s">
        <v>35</v>
      </c>
      <c r="B50" s="44"/>
      <c r="C50" s="44"/>
      <c r="D50" s="44"/>
      <c r="E50" s="44"/>
      <c r="F50" s="44"/>
      <c r="G50" s="44"/>
      <c r="H50" s="44"/>
      <c r="I50" s="44"/>
      <c r="J50" s="45"/>
    </row>
    <row r="51" spans="1:10" ht="17.100000000000001" customHeight="1" x14ac:dyDescent="0.25">
      <c r="A51" s="27"/>
      <c r="B51" s="13"/>
      <c r="C51" s="13"/>
      <c r="D51" s="13"/>
      <c r="E51" s="27"/>
      <c r="F51" s="28"/>
      <c r="G51" s="13"/>
      <c r="H51" s="13"/>
      <c r="I51" s="29"/>
      <c r="J51" s="29"/>
    </row>
    <row r="52" spans="1:10" ht="30" x14ac:dyDescent="0.25">
      <c r="A52" s="12" t="s">
        <v>22</v>
      </c>
      <c r="B52" s="12" t="s">
        <v>37</v>
      </c>
      <c r="C52" s="12" t="s">
        <v>21</v>
      </c>
      <c r="D52" s="12" t="s">
        <v>15</v>
      </c>
      <c r="E52" s="12" t="s">
        <v>16</v>
      </c>
      <c r="F52" s="12" t="s">
        <v>7</v>
      </c>
      <c r="G52" s="12" t="s">
        <v>6</v>
      </c>
      <c r="H52" s="12" t="s">
        <v>4</v>
      </c>
      <c r="I52" s="12" t="s">
        <v>5</v>
      </c>
      <c r="J52" s="12" t="s">
        <v>4</v>
      </c>
    </row>
    <row r="53" spans="1:10" ht="60.75" customHeight="1" x14ac:dyDescent="0.25">
      <c r="A53" s="34" t="str">
        <f>B10</f>
        <v>PTF_142HIN-400-A</v>
      </c>
      <c r="B53" s="34" t="str">
        <f>B11</f>
        <v>Initial</v>
      </c>
      <c r="C53" s="34" t="str">
        <f>B12</f>
        <v>Glass Vial</v>
      </c>
      <c r="D53" s="34" t="str">
        <f>B8</f>
        <v>TRF-033-26-028</v>
      </c>
      <c r="E53" s="34" t="str">
        <f>B9</f>
        <v>AD/045/26/0316</v>
      </c>
      <c r="F53" s="15">
        <v>1</v>
      </c>
      <c r="G53" s="15">
        <v>1</v>
      </c>
      <c r="H53" s="16">
        <v>250</v>
      </c>
      <c r="I53" s="16">
        <v>1</v>
      </c>
      <c r="J53" s="16">
        <v>1</v>
      </c>
    </row>
    <row r="54" spans="1:10" ht="17.100000000000001" customHeight="1" x14ac:dyDescent="0.25">
      <c r="A54" s="35"/>
      <c r="B54" s="35"/>
      <c r="C54" s="35"/>
      <c r="D54" s="35"/>
      <c r="E54" s="35"/>
      <c r="F54" s="13"/>
      <c r="G54" s="36"/>
      <c r="H54" s="36"/>
      <c r="I54" s="36"/>
      <c r="J54" s="36"/>
    </row>
    <row r="55" spans="1:10" ht="17.100000000000001" customHeight="1" x14ac:dyDescent="0.25">
      <c r="A55" s="12" t="s">
        <v>36</v>
      </c>
      <c r="B55" s="12" t="s">
        <v>10</v>
      </c>
      <c r="C55" s="12" t="s">
        <v>11</v>
      </c>
      <c r="D55" s="12" t="s">
        <v>13</v>
      </c>
      <c r="E55" s="12" t="s">
        <v>12</v>
      </c>
      <c r="F55" s="13"/>
      <c r="G55" s="13"/>
      <c r="H55" s="13"/>
      <c r="I55" s="36"/>
      <c r="J55" s="36"/>
    </row>
    <row r="56" spans="1:10" ht="17.100000000000001" customHeight="1" x14ac:dyDescent="0.25">
      <c r="A56" s="37" t="str">
        <f>A22</f>
        <v>Cholesterol</v>
      </c>
      <c r="B56" s="16">
        <v>1955799</v>
      </c>
      <c r="C56" s="16">
        <v>1953318</v>
      </c>
      <c r="D56" s="38">
        <f t="shared" ref="D56:D59" si="0">(B56+C56)/2</f>
        <v>1954558.5</v>
      </c>
      <c r="E56" s="39">
        <f>D56/B35*B22/C22*D22/E22*J53/I53*H53/G53*F53/G22*F22*H22/I22</f>
        <v>125.29839035915343</v>
      </c>
      <c r="F56" s="13"/>
      <c r="G56" s="13"/>
      <c r="H56" s="13"/>
      <c r="I56" s="36"/>
      <c r="J56" s="36"/>
    </row>
    <row r="57" spans="1:10" ht="17.100000000000001" customHeight="1" x14ac:dyDescent="0.25">
      <c r="A57" s="37" t="str">
        <f>C27</f>
        <v>Alpha tocopherol</v>
      </c>
      <c r="B57" s="16">
        <v>532209</v>
      </c>
      <c r="C57" s="16">
        <v>526196</v>
      </c>
      <c r="D57" s="38">
        <f t="shared" si="0"/>
        <v>529202.5</v>
      </c>
      <c r="E57" s="39">
        <f>D57/C35*B23/C23*D23/E23*J53/I53*H53/G53*F53/G23*F23*H23/I23</f>
        <v>115.10402556426197</v>
      </c>
      <c r="F57" s="13"/>
      <c r="G57" s="13"/>
      <c r="H57" s="13"/>
      <c r="I57" s="36"/>
      <c r="J57" s="36"/>
    </row>
    <row r="58" spans="1:10" ht="17.100000000000001" customHeight="1" x14ac:dyDescent="0.25">
      <c r="A58" s="37" t="str">
        <f>D27</f>
        <v>DSPG</v>
      </c>
      <c r="B58" s="16">
        <v>353084</v>
      </c>
      <c r="C58" s="16">
        <v>337734</v>
      </c>
      <c r="D58" s="38">
        <f t="shared" si="0"/>
        <v>345409</v>
      </c>
      <c r="E58" s="39">
        <f>D58/D35*B24/C24*D24/E24*J53/I53*H53/G53*F53/G24*F24*H24/I24</f>
        <v>122.69738536934938</v>
      </c>
      <c r="F58" s="40"/>
      <c r="G58" s="13"/>
      <c r="H58" s="13"/>
      <c r="I58" s="13"/>
      <c r="J58" s="13"/>
    </row>
    <row r="59" spans="1:10" ht="17.100000000000001" customHeight="1" x14ac:dyDescent="0.25">
      <c r="A59" s="37" t="str">
        <f>A25</f>
        <v>HSPC</v>
      </c>
      <c r="B59" s="16">
        <v>964486</v>
      </c>
      <c r="C59" s="16">
        <v>958712</v>
      </c>
      <c r="D59" s="38">
        <f t="shared" si="0"/>
        <v>961599</v>
      </c>
      <c r="E59" s="39">
        <f>D59/E35*B25/C25*D25/E25*J53/I53*H53/G53*F53/G25*F25*H25/I25</f>
        <v>129.8615094964363</v>
      </c>
      <c r="F59" s="40"/>
      <c r="G59" s="13"/>
      <c r="H59" s="13"/>
      <c r="I59" s="13"/>
      <c r="J59" s="13"/>
    </row>
    <row r="60" spans="1:10" ht="17.100000000000001" customHeight="1" x14ac:dyDescent="0.25">
      <c r="A60" s="13"/>
      <c r="B60" s="13"/>
      <c r="C60" s="13"/>
      <c r="D60" s="13"/>
      <c r="E60" s="13"/>
      <c r="F60" s="13"/>
      <c r="G60" s="40"/>
      <c r="H60" s="13"/>
      <c r="I60" s="13"/>
      <c r="J60" s="13"/>
    </row>
    <row r="61" spans="1:10" ht="17.100000000000001" customHeight="1" x14ac:dyDescent="0.25">
      <c r="A61" s="13"/>
      <c r="B61" s="13"/>
      <c r="C61" s="13"/>
      <c r="D61" s="13"/>
      <c r="E61" s="13"/>
      <c r="F61" s="13"/>
      <c r="G61" s="40"/>
      <c r="H61" s="13"/>
      <c r="I61" s="13"/>
      <c r="J61" s="13"/>
    </row>
    <row r="62" spans="1:10" ht="17.100000000000001" customHeight="1" x14ac:dyDescent="0.25">
      <c r="A62" s="41" t="s">
        <v>20</v>
      </c>
      <c r="B62" s="22"/>
      <c r="C62" s="13"/>
      <c r="D62" s="19"/>
      <c r="E62" s="19"/>
      <c r="F62" s="46" t="s">
        <v>19</v>
      </c>
      <c r="G62" s="47"/>
      <c r="H62" s="48"/>
      <c r="I62" s="49"/>
      <c r="J62" s="40"/>
    </row>
    <row r="63" spans="1:10" ht="17.100000000000001" customHeight="1" x14ac:dyDescent="0.25">
      <c r="A63" s="41" t="s">
        <v>18</v>
      </c>
      <c r="B63" s="22"/>
      <c r="C63" s="13"/>
      <c r="D63" s="19"/>
      <c r="E63" s="19"/>
      <c r="F63" s="46" t="s">
        <v>18</v>
      </c>
      <c r="G63" s="47"/>
      <c r="H63" s="48"/>
      <c r="I63" s="49"/>
      <c r="J63" s="40"/>
    </row>
    <row r="64" spans="1:10" ht="17.100000000000001" customHeight="1" x14ac:dyDescent="0.25">
      <c r="A64" s="9"/>
      <c r="B64" s="42"/>
      <c r="C64" s="42"/>
      <c r="D64" s="42"/>
      <c r="E64" s="42"/>
      <c r="F64" s="42"/>
      <c r="G64" s="42"/>
      <c r="H64" s="42"/>
      <c r="I64" s="42"/>
      <c r="J64" s="42"/>
    </row>
  </sheetData>
  <mergeCells count="23">
    <mergeCell ref="B6:J6"/>
    <mergeCell ref="A1:J1"/>
    <mergeCell ref="A2:J2"/>
    <mergeCell ref="A3:J3"/>
    <mergeCell ref="A4:J4"/>
    <mergeCell ref="B5:J5"/>
    <mergeCell ref="A19:J19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A50:J50"/>
    <mergeCell ref="F62:G62"/>
    <mergeCell ref="H62:I62"/>
    <mergeCell ref="F63:G63"/>
    <mergeCell ref="H63:I63"/>
  </mergeCells>
  <pageMargins left="0" right="0" top="0" bottom="0" header="0" footer="0"/>
  <pageSetup paperSize="9" scale="55" fitToHeight="0" orientation="portrait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PTF_142HIN-400-A</vt:lpstr>
      <vt:lpstr>'PTF_142HIN-400-A'!Print_Area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Kotadiya, Chirag</dc:creator>
  <cp:lastModifiedBy>Kakkad, Krunalben</cp:lastModifiedBy>
  <cp:lastPrinted>2026-03-23T04:11:23Z</cp:lastPrinted>
  <dcterms:created xsi:type="dcterms:W3CDTF">2006-09-16T00:00:00Z</dcterms:created>
  <dcterms:modified xsi:type="dcterms:W3CDTF">2026-06-24T05:34:30Z</dcterms:modified>
</cp:coreProperties>
</file>