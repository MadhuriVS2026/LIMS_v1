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07977\Desktop\Calculation sheet_AD_NDDS\"/>
    </mc:Choice>
  </mc:AlternateContent>
  <bookViews>
    <workbookView xWindow="0" yWindow="0" windowWidth="24000" windowHeight="9600"/>
  </bookViews>
  <sheets>
    <sheet name="1" sheetId="15" r:id="rId1"/>
  </sheets>
  <externalReferences>
    <externalReference r:id="rId2"/>
  </externalReferences>
  <definedNames>
    <definedName name="_xlnm.Print_Area" localSheetId="0">'1'!$A$1:$S$78</definedName>
    <definedName name="print1">[1]formu!$A$2:$P$21</definedName>
    <definedName name="print2">[1]formu!$A$23:$P$42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5" l="1"/>
  <c r="F57" i="15"/>
  <c r="E57" i="15"/>
  <c r="D57" i="15"/>
  <c r="C57" i="15"/>
  <c r="B57" i="15"/>
  <c r="A57" i="15"/>
  <c r="H19" i="15"/>
  <c r="I19" i="15" s="1"/>
  <c r="G32" i="15" s="1"/>
  <c r="I16" i="15"/>
  <c r="S13" i="15"/>
  <c r="E58" i="15" l="1"/>
  <c r="E59" i="15" s="1"/>
  <c r="E60" i="15" s="1"/>
  <c r="J16" i="15"/>
  <c r="G31" i="15" s="1"/>
  <c r="B58" i="15"/>
  <c r="F58" i="15"/>
  <c r="F59" i="15" s="1"/>
  <c r="F60" i="15" s="1"/>
  <c r="C58" i="15"/>
  <c r="C59" i="15" s="1"/>
  <c r="C60" i="15" s="1"/>
  <c r="G58" i="15"/>
  <c r="G59" i="15" s="1"/>
  <c r="G60" i="15" s="1"/>
  <c r="D58" i="15"/>
  <c r="D59" i="15" s="1"/>
  <c r="D60" i="15" s="1"/>
  <c r="B59" i="15" l="1"/>
  <c r="B60" i="15" s="1"/>
  <c r="I58" i="15"/>
  <c r="H58" i="15"/>
  <c r="L58" i="15"/>
  <c r="K58" i="15"/>
  <c r="K59" i="15" l="1"/>
  <c r="L59" i="15"/>
  <c r="I60" i="15"/>
  <c r="H60" i="15"/>
  <c r="I59" i="15"/>
  <c r="H59" i="15"/>
  <c r="J58" i="15"/>
  <c r="L60" i="15"/>
  <c r="K60" i="15"/>
  <c r="J59" i="15" l="1"/>
  <c r="J60" i="15"/>
</calcChain>
</file>

<file path=xl/sharedStrings.xml><?xml version="1.0" encoding="utf-8"?>
<sst xmlns="http://schemas.openxmlformats.org/spreadsheetml/2006/main" count="113" uniqueCount="107">
  <si>
    <t>Apparatus</t>
  </si>
  <si>
    <t>PRODUCT</t>
  </si>
  <si>
    <t>RPM</t>
  </si>
  <si>
    <t>Withdrawal Volume (mL)</t>
  </si>
  <si>
    <t>LNB No.</t>
  </si>
  <si>
    <t>TEST PERFORMED</t>
  </si>
  <si>
    <t>STANDARD PREPARATION</t>
  </si>
  <si>
    <t xml:space="preserve">Wt. in mg </t>
  </si>
  <si>
    <t xml:space="preserve">Dilutions </t>
  </si>
  <si>
    <t>mg</t>
  </si>
  <si>
    <t>ml</t>
  </si>
  <si>
    <t>Injections</t>
  </si>
  <si>
    <t>SD</t>
  </si>
  <si>
    <t>RSD</t>
  </si>
  <si>
    <t xml:space="preserve">Area </t>
  </si>
  <si>
    <t>System Suitability Criteria</t>
  </si>
  <si>
    <t>Observation</t>
  </si>
  <si>
    <t>Time Interval (Hours)</t>
  </si>
  <si>
    <t>%RSD</t>
  </si>
  <si>
    <t>Min.</t>
  </si>
  <si>
    <t>Max.</t>
  </si>
  <si>
    <t>ml (Media)</t>
  </si>
  <si>
    <t>Unit-01</t>
  </si>
  <si>
    <t>Unit-02</t>
  </si>
  <si>
    <t>Unit-03</t>
  </si>
  <si>
    <t>Unit-04</t>
  </si>
  <si>
    <t>Unit-05</t>
  </si>
  <si>
    <t>Unit-06</t>
  </si>
  <si>
    <t>Inj-1</t>
  </si>
  <si>
    <t>Inj-2</t>
  </si>
  <si>
    <t>Inj-3</t>
  </si>
  <si>
    <t>Inj-4</t>
  </si>
  <si>
    <t>Inj-5</t>
  </si>
  <si>
    <t>Mean</t>
  </si>
  <si>
    <t>BKT-1</t>
  </si>
  <si>
    <t>BKT-2</t>
  </si>
  <si>
    <t>BKT-3</t>
  </si>
  <si>
    <t>BKT-4</t>
  </si>
  <si>
    <t>BKT-5</t>
  </si>
  <si>
    <t>BKT-6</t>
  </si>
  <si>
    <t>BKT-7</t>
  </si>
  <si>
    <t>BKT-8</t>
  </si>
  <si>
    <t>BKT-9</t>
  </si>
  <si>
    <t>BKT-10</t>
  </si>
  <si>
    <t>BKT-11</t>
  </si>
  <si>
    <t>BKT-12</t>
  </si>
  <si>
    <t>BKT-13</t>
  </si>
  <si>
    <t>BKT-14</t>
  </si>
  <si>
    <t>BKT-15</t>
  </si>
  <si>
    <t>BKT-16</t>
  </si>
  <si>
    <t>BKT-17</t>
  </si>
  <si>
    <t>BKT-18</t>
  </si>
  <si>
    <t>BKT-19</t>
  </si>
  <si>
    <t>BKT-20</t>
  </si>
  <si>
    <t>BKT-21</t>
  </si>
  <si>
    <t>BKT-22</t>
  </si>
  <si>
    <t>BKT-23</t>
  </si>
  <si>
    <t>BKT-24</t>
  </si>
  <si>
    <t>Bracketing Std 
(Area)</t>
  </si>
  <si>
    <t>Area of standard Injections</t>
  </si>
  <si>
    <t xml:space="preserve">ml  </t>
  </si>
  <si>
    <t>Concen. (ppm)</t>
  </si>
  <si>
    <t xml:space="preserve">%Potency </t>
  </si>
  <si>
    <t>Emcure Pharmaceuticals Limited - R &amp; D (GANDHINAGAR)</t>
  </si>
  <si>
    <t xml:space="preserve">Sample (Wt.) </t>
  </si>
  <si>
    <t>Test Preparation</t>
  </si>
  <si>
    <t>Batch No.</t>
  </si>
  <si>
    <t>DATE OF ANALYSIS</t>
  </si>
  <si>
    <t>Disso Media</t>
  </si>
  <si>
    <t>Replenishment Volume (mL)</t>
  </si>
  <si>
    <r>
      <t xml:space="preserve">LABEL CLAIM (mg/mL)      </t>
    </r>
    <r>
      <rPr>
        <sz val="16"/>
        <color theme="1"/>
        <rFont val="Calibri"/>
        <family val="2"/>
        <scheme val="minor"/>
      </rPr>
      <t>:</t>
    </r>
  </si>
  <si>
    <r>
      <t>Temp</t>
    </r>
    <r>
      <rPr>
        <b/>
        <vertAlign val="superscript"/>
        <sz val="16"/>
        <rFont val="Arial"/>
        <family val="2"/>
      </rPr>
      <t xml:space="preserve">re </t>
    </r>
    <r>
      <rPr>
        <b/>
        <sz val="16"/>
        <rFont val="Arial"/>
        <family val="2"/>
      </rPr>
      <t>(°C)</t>
    </r>
  </si>
  <si>
    <t>STRENGTH</t>
  </si>
  <si>
    <t>Page 1 of 2</t>
  </si>
  <si>
    <t>Continue on Next page</t>
  </si>
  <si>
    <t>Parameter</t>
  </si>
  <si>
    <t>SAMPLE AREA</t>
  </si>
  <si>
    <t>USP-II</t>
  </si>
  <si>
    <t>DISSO ID</t>
  </si>
  <si>
    <t>HPLC ID</t>
  </si>
  <si>
    <t>Column ID</t>
  </si>
  <si>
    <t>Protocol No.</t>
  </si>
  <si>
    <t>Amphotericin B Liposome for Injection, 50 mg/vial</t>
  </si>
  <si>
    <r>
      <rPr>
        <b/>
        <sz val="14"/>
        <rFont val="Arial"/>
        <family val="2"/>
      </rPr>
      <t>1.</t>
    </r>
    <r>
      <rPr>
        <sz val="14"/>
        <rFont val="Arial"/>
        <family val="2"/>
      </rPr>
      <t xml:space="preserve"> No interference peak from the Blank solution should be observed at the retention time of peak due to Amphotericin B in Test solution.</t>
    </r>
  </si>
  <si>
    <t>With Water
 (mL)</t>
  </si>
  <si>
    <t xml:space="preserve">
 (mL)</t>
  </si>
  <si>
    <t>Media Volume
 (mL)</t>
  </si>
  <si>
    <t>ml (Diluent)</t>
  </si>
  <si>
    <t>50 mg/vial</t>
  </si>
  <si>
    <t>Inj-6</t>
  </si>
  <si>
    <t>% Content of Amphotericin B</t>
  </si>
  <si>
    <r>
      <rPr>
        <b/>
        <sz val="14"/>
        <rFont val="Arial"/>
        <family val="2"/>
      </rPr>
      <t xml:space="preserve">2. </t>
    </r>
    <r>
      <rPr>
        <sz val="14"/>
        <rFont val="Arial"/>
        <family val="2"/>
      </rPr>
      <t>The tailing factor for peak due to Amphotericin B in 6th injection of Standard solution should be not more than 2.0</t>
    </r>
  </si>
  <si>
    <r>
      <rPr>
        <b/>
        <sz val="14"/>
        <rFont val="Arial"/>
        <family val="2"/>
      </rPr>
      <t>3.</t>
    </r>
    <r>
      <rPr>
        <sz val="14"/>
        <rFont val="Arial"/>
        <family val="2"/>
      </rPr>
      <t xml:space="preserve"> Theoretical plates for peak due to Amphotericin B in 6th injection of Standard solution should be not less than 2000.</t>
    </r>
  </si>
  <si>
    <r>
      <rPr>
        <b/>
        <sz val="14"/>
        <rFont val="Arial"/>
        <family val="2"/>
      </rPr>
      <t>4.</t>
    </r>
    <r>
      <rPr>
        <sz val="14"/>
        <rFont val="Arial"/>
        <family val="2"/>
      </rPr>
      <t xml:space="preserve"> % RSD of the peak area of Amphotericin B from six replicate injections of Standard solution should be not more than 5.0 %.</t>
    </r>
  </si>
  <si>
    <r>
      <rPr>
        <b/>
        <sz val="14"/>
        <rFont val="Arial"/>
        <family val="2"/>
      </rPr>
      <t>5.</t>
    </r>
    <r>
      <rPr>
        <sz val="14"/>
        <rFont val="Arial"/>
        <family val="2"/>
      </rPr>
      <t xml:space="preserve"> The %RSD of the peak area of Amphotericin B from Bracketing standards and replicate injections of Standard solution should be not more than 5.0%.</t>
    </r>
  </si>
  <si>
    <t>Amphotericin B USPRS</t>
  </si>
  <si>
    <t>(mL)</t>
  </si>
  <si>
    <t>37°C</t>
  </si>
  <si>
    <t>Phosphate Buffer pH 7.4 with 2% Sodium deoxycholate</t>
  </si>
  <si>
    <t>NA</t>
  </si>
  <si>
    <t>Complies</t>
  </si>
  <si>
    <t>IVR</t>
  </si>
  <si>
    <t>AD/TDT/009</t>
  </si>
  <si>
    <t>Batch Analysis (Unit 1 to 6)</t>
  </si>
  <si>
    <t>AD/HPLC/042</t>
  </si>
  <si>
    <t>AD/LC/2525</t>
  </si>
  <si>
    <t>ES23E018_25°C_3M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</si>
</sst>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3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5"/>
      <name val="Arial"/>
      <family val="2"/>
    </font>
    <font>
      <b/>
      <sz val="2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5C7F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2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0" borderId="0" xfId="1" applyFont="1" applyBorder="1" applyAlignment="1">
      <alignment vertical="center"/>
    </xf>
    <xf numFmtId="164" fontId="1" fillId="0" borderId="0" xfId="1" applyNumberFormat="1" applyFont="1" applyBorder="1" applyAlignment="1">
      <alignment vertical="center"/>
    </xf>
    <xf numFmtId="164" fontId="1" fillId="0" borderId="0" xfId="1" applyNumberFormat="1" applyFont="1" applyBorder="1" applyAlignment="1">
      <alignment horizontal="center" vertical="center"/>
    </xf>
    <xf numFmtId="0" fontId="5" fillId="0" borderId="0" xfId="1" applyFont="1" applyAlignment="1">
      <alignment horizontal="justify"/>
    </xf>
    <xf numFmtId="0" fontId="1" fillId="0" borderId="0" xfId="1"/>
    <xf numFmtId="0" fontId="6" fillId="0" borderId="0" xfId="1" applyFont="1" applyAlignment="1">
      <alignment horizontal="justify"/>
    </xf>
    <xf numFmtId="0" fontId="7" fillId="0" borderId="0" xfId="1" applyFont="1" applyAlignment="1">
      <alignment wrapText="1"/>
    </xf>
    <xf numFmtId="0" fontId="8" fillId="0" borderId="0" xfId="1" applyFont="1" applyAlignment="1">
      <alignment vertical="top" wrapText="1"/>
    </xf>
    <xf numFmtId="0" fontId="7" fillId="0" borderId="0" xfId="1" applyFont="1" applyAlignment="1">
      <alignment horizontal="justify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center" wrapText="1"/>
    </xf>
    <xf numFmtId="0" fontId="9" fillId="2" borderId="0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vertical="center"/>
    </xf>
    <xf numFmtId="0" fontId="10" fillId="2" borderId="2" xfId="1" applyFont="1" applyFill="1" applyBorder="1" applyAlignment="1" applyProtection="1">
      <alignment vertical="center"/>
    </xf>
    <xf numFmtId="0" fontId="10" fillId="0" borderId="0" xfId="1" applyFont="1" applyBorder="1" applyAlignment="1" applyProtection="1">
      <alignment vertical="center"/>
    </xf>
    <xf numFmtId="0" fontId="10" fillId="2" borderId="1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horizontal="center" vertical="center"/>
    </xf>
    <xf numFmtId="1" fontId="10" fillId="2" borderId="0" xfId="1" applyNumberFormat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vertical="center"/>
    </xf>
    <xf numFmtId="0" fontId="9" fillId="2" borderId="7" xfId="1" applyFont="1" applyFill="1" applyBorder="1" applyAlignment="1" applyProtection="1">
      <alignment horizontal="center" vertical="center"/>
    </xf>
    <xf numFmtId="0" fontId="9" fillId="2" borderId="1" xfId="1" applyFont="1" applyFill="1" applyBorder="1" applyAlignment="1" applyProtection="1">
      <alignment horizontal="center" vertical="center"/>
    </xf>
    <xf numFmtId="1" fontId="9" fillId="2" borderId="0" xfId="1" applyNumberFormat="1" applyFont="1" applyFill="1" applyBorder="1" applyAlignment="1" applyProtection="1">
      <alignment vertical="center"/>
    </xf>
    <xf numFmtId="165" fontId="9" fillId="2" borderId="0" xfId="1" applyNumberFormat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vertical="top" wrapText="1"/>
    </xf>
    <xf numFmtId="0" fontId="0" fillId="0" borderId="0" xfId="0" applyBorder="1" applyAlignment="1" applyProtection="1">
      <alignment vertical="top" wrapText="1"/>
    </xf>
    <xf numFmtId="16" fontId="10" fillId="2" borderId="0" xfId="1" applyNumberFormat="1" applyFont="1" applyFill="1" applyBorder="1" applyAlignment="1" applyProtection="1">
      <alignment horizontal="center" vertical="center"/>
    </xf>
    <xf numFmtId="0" fontId="1" fillId="0" borderId="1" xfId="1" applyFont="1" applyBorder="1" applyAlignment="1" applyProtection="1">
      <alignment vertical="center"/>
    </xf>
    <xf numFmtId="0" fontId="1" fillId="0" borderId="0" xfId="1" applyFont="1" applyBorder="1" applyAlignment="1" applyProtection="1">
      <alignment vertical="center"/>
    </xf>
    <xf numFmtId="0" fontId="1" fillId="3" borderId="0" xfId="1" applyFont="1" applyFill="1" applyBorder="1" applyAlignment="1" applyProtection="1">
      <alignment horizontal="center" vertical="center"/>
    </xf>
    <xf numFmtId="16" fontId="1" fillId="3" borderId="0" xfId="1" applyNumberFormat="1" applyFont="1" applyFill="1" applyBorder="1" applyAlignment="1" applyProtection="1">
      <alignment horizontal="center" vertical="center"/>
    </xf>
    <xf numFmtId="1" fontId="1" fillId="3" borderId="0" xfId="1" applyNumberFormat="1" applyFont="1" applyFill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vertical="center"/>
    </xf>
    <xf numFmtId="2" fontId="11" fillId="0" borderId="0" xfId="1" applyNumberFormat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</xf>
    <xf numFmtId="164" fontId="11" fillId="0" borderId="0" xfId="1" applyNumberFormat="1" applyFont="1" applyBorder="1" applyAlignment="1" applyProtection="1">
      <alignment horizontal="center" vertical="center"/>
    </xf>
    <xf numFmtId="164" fontId="2" fillId="0" borderId="0" xfId="1" applyNumberFormat="1" applyFont="1" applyBorder="1" applyAlignment="1" applyProtection="1">
      <alignment horizontal="center" vertical="center"/>
    </xf>
    <xf numFmtId="164" fontId="2" fillId="0" borderId="2" xfId="1" applyNumberFormat="1" applyFont="1" applyBorder="1" applyAlignment="1" applyProtection="1">
      <alignment horizontal="center" vertical="center"/>
    </xf>
    <xf numFmtId="164" fontId="9" fillId="2" borderId="6" xfId="1" applyNumberFormat="1" applyFont="1" applyFill="1" applyBorder="1" applyAlignment="1" applyProtection="1">
      <alignment horizontal="center" vertical="center"/>
    </xf>
    <xf numFmtId="0" fontId="10" fillId="2" borderId="0" xfId="1" applyFont="1" applyFill="1" applyBorder="1" applyAlignment="1" applyProtection="1">
      <alignment vertical="center"/>
      <protection locked="0"/>
    </xf>
    <xf numFmtId="0" fontId="10" fillId="2" borderId="2" xfId="1" applyFont="1" applyFill="1" applyBorder="1" applyAlignment="1" applyProtection="1">
      <alignment vertical="center"/>
      <protection locked="0"/>
    </xf>
    <xf numFmtId="0" fontId="10" fillId="2" borderId="0" xfId="1" applyFont="1" applyFill="1" applyBorder="1" applyAlignment="1" applyProtection="1">
      <alignment horizontal="center" vertical="center"/>
      <protection locked="0"/>
    </xf>
    <xf numFmtId="0" fontId="1" fillId="2" borderId="0" xfId="1" applyFont="1" applyFill="1" applyBorder="1" applyAlignment="1" applyProtection="1">
      <alignment vertical="center"/>
      <protection locked="0"/>
    </xf>
    <xf numFmtId="165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  <protection locked="0"/>
    </xf>
    <xf numFmtId="1" fontId="13" fillId="4" borderId="7" xfId="1" applyNumberFormat="1" applyFont="1" applyFill="1" applyBorder="1" applyAlignment="1" applyProtection="1">
      <alignment horizontal="center" vertical="center"/>
      <protection locked="0"/>
    </xf>
    <xf numFmtId="2" fontId="13" fillId="0" borderId="7" xfId="1" applyNumberFormat="1" applyFont="1" applyBorder="1" applyAlignment="1" applyProtection="1">
      <alignment horizontal="center" vertical="center"/>
    </xf>
    <xf numFmtId="164" fontId="13" fillId="0" borderId="7" xfId="1" applyNumberFormat="1" applyFont="1" applyBorder="1" applyAlignment="1" applyProtection="1">
      <alignment horizontal="center" vertical="center"/>
    </xf>
    <xf numFmtId="2" fontId="13" fillId="0" borderId="16" xfId="1" applyNumberFormat="1" applyFont="1" applyBorder="1" applyAlignment="1" applyProtection="1">
      <alignment horizontal="center" vertical="center"/>
    </xf>
    <xf numFmtId="164" fontId="13" fillId="0" borderId="16" xfId="1" applyNumberFormat="1" applyFont="1" applyBorder="1" applyAlignment="1" applyProtection="1">
      <alignment horizontal="center" vertical="center"/>
    </xf>
    <xf numFmtId="0" fontId="13" fillId="2" borderId="0" xfId="1" applyFont="1" applyFill="1" applyBorder="1" applyAlignment="1" applyProtection="1">
      <alignment vertical="center"/>
    </xf>
    <xf numFmtId="0" fontId="12" fillId="2" borderId="7" xfId="1" applyFont="1" applyFill="1" applyBorder="1" applyAlignment="1" applyProtection="1">
      <alignment horizontal="left" vertical="center"/>
    </xf>
    <xf numFmtId="0" fontId="13" fillId="2" borderId="2" xfId="1" applyFont="1" applyFill="1" applyBorder="1" applyAlignment="1" applyProtection="1">
      <alignment vertical="center"/>
    </xf>
    <xf numFmtId="0" fontId="12" fillId="2" borderId="6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vertical="center"/>
    </xf>
    <xf numFmtId="1" fontId="13" fillId="0" borderId="0" xfId="1" applyNumberFormat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vertical="center"/>
    </xf>
    <xf numFmtId="14" fontId="13" fillId="0" borderId="4" xfId="1" applyNumberFormat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vertical="center"/>
    </xf>
    <xf numFmtId="0" fontId="12" fillId="0" borderId="4" xfId="1" applyFont="1" applyFill="1" applyBorder="1" applyAlignment="1" applyProtection="1">
      <alignment horizontal="left" vertical="center" wrapText="1"/>
    </xf>
    <xf numFmtId="2" fontId="12" fillId="0" borderId="4" xfId="1" applyNumberFormat="1" applyFont="1" applyFill="1" applyBorder="1" applyAlignment="1" applyProtection="1">
      <alignment horizontal="center" vertical="center" wrapText="1"/>
    </xf>
    <xf numFmtId="1" fontId="13" fillId="0" borderId="4" xfId="1" applyNumberFormat="1" applyFont="1" applyFill="1" applyBorder="1" applyAlignment="1" applyProtection="1">
      <alignment horizontal="center" vertical="center"/>
    </xf>
    <xf numFmtId="0" fontId="13" fillId="2" borderId="4" xfId="1" applyFont="1" applyFill="1" applyBorder="1" applyAlignment="1" applyProtection="1">
      <alignment vertical="center"/>
    </xf>
    <xf numFmtId="0" fontId="12" fillId="2" borderId="16" xfId="1" applyFont="1" applyFill="1" applyBorder="1" applyAlignment="1" applyProtection="1">
      <alignment horizontal="center" vertical="center"/>
    </xf>
    <xf numFmtId="0" fontId="13" fillId="2" borderId="5" xfId="1" applyFont="1" applyFill="1" applyBorder="1" applyAlignment="1" applyProtection="1">
      <alignment vertical="center"/>
    </xf>
    <xf numFmtId="0" fontId="13" fillId="2" borderId="16" xfId="1" applyFont="1" applyFill="1" applyBorder="1" applyAlignment="1" applyProtection="1">
      <alignment horizontal="left" vertical="center"/>
    </xf>
    <xf numFmtId="0" fontId="13" fillId="2" borderId="1" xfId="1" applyFont="1" applyFill="1" applyBorder="1" applyAlignment="1" applyProtection="1">
      <alignment vertical="center"/>
    </xf>
    <xf numFmtId="1" fontId="13" fillId="2" borderId="0" xfId="1" applyNumberFormat="1" applyFont="1" applyFill="1" applyBorder="1" applyAlignment="1" applyProtection="1">
      <alignment vertical="center"/>
    </xf>
    <xf numFmtId="0" fontId="13" fillId="2" borderId="0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3" fillId="0" borderId="0" xfId="1" applyNumberFormat="1" applyFont="1" applyFill="1" applyBorder="1" applyAlignment="1" applyProtection="1">
      <alignment horizontal="center" vertical="center"/>
      <protection locked="0"/>
    </xf>
    <xf numFmtId="1" fontId="13" fillId="0" borderId="0" xfId="1" applyNumberFormat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center" vertical="center"/>
      <protection locked="0"/>
    </xf>
    <xf numFmtId="164" fontId="9" fillId="2" borderId="11" xfId="1" applyNumberFormat="1" applyFont="1" applyFill="1" applyBorder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/>
    </xf>
    <xf numFmtId="1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vertical="center"/>
    </xf>
    <xf numFmtId="0" fontId="12" fillId="0" borderId="0" xfId="1" applyFont="1" applyBorder="1" applyAlignment="1" applyProtection="1">
      <alignment horizontal="center" vertical="center" wrapText="1"/>
    </xf>
    <xf numFmtId="2" fontId="13" fillId="0" borderId="0" xfId="1" applyNumberFormat="1" applyFont="1" applyBorder="1" applyAlignment="1" applyProtection="1">
      <alignment horizontal="center" vertical="center"/>
    </xf>
    <xf numFmtId="0" fontId="12" fillId="0" borderId="6" xfId="1" applyFont="1" applyBorder="1" applyAlignment="1" applyProtection="1">
      <alignment horizontal="center" vertical="center" wrapText="1"/>
    </xf>
    <xf numFmtId="0" fontId="15" fillId="0" borderId="2" xfId="1" applyFont="1" applyFill="1" applyBorder="1" applyAlignment="1" applyProtection="1">
      <alignment vertical="center"/>
    </xf>
    <xf numFmtId="0" fontId="1" fillId="0" borderId="2" xfId="1" applyFont="1" applyBorder="1" applyAlignment="1">
      <alignment vertical="center"/>
    </xf>
    <xf numFmtId="16" fontId="10" fillId="2" borderId="0" xfId="1" applyNumberFormat="1" applyFont="1" applyFill="1" applyBorder="1" applyAlignment="1" applyProtection="1">
      <alignment horizontal="center" vertical="center"/>
      <protection locked="0"/>
    </xf>
    <xf numFmtId="1" fontId="10" fillId="2" borderId="0" xfId="1" applyNumberFormat="1" applyFont="1" applyFill="1" applyBorder="1" applyAlignment="1" applyProtection="1">
      <alignment horizontal="center" vertical="center"/>
      <protection locked="0"/>
    </xf>
    <xf numFmtId="2" fontId="9" fillId="2" borderId="0" xfId="1" applyNumberFormat="1" applyFont="1" applyFill="1" applyBorder="1" applyAlignment="1" applyProtection="1">
      <alignment vertical="center"/>
      <protection locked="0"/>
    </xf>
    <xf numFmtId="0" fontId="9" fillId="2" borderId="15" xfId="1" applyFont="1" applyFill="1" applyBorder="1" applyAlignment="1" applyProtection="1">
      <alignment horizontal="center" vertical="center"/>
    </xf>
    <xf numFmtId="164" fontId="12" fillId="0" borderId="7" xfId="1" applyNumberFormat="1" applyFont="1" applyBorder="1" applyAlignment="1" applyProtection="1">
      <alignment horizontal="center" vertical="center"/>
    </xf>
    <xf numFmtId="164" fontId="12" fillId="0" borderId="8" xfId="1" applyNumberFormat="1" applyFont="1" applyBorder="1" applyAlignment="1" applyProtection="1">
      <alignment horizontal="center" vertical="center"/>
    </xf>
    <xf numFmtId="0" fontId="12" fillId="2" borderId="7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0" fontId="12" fillId="2" borderId="17" xfId="1" applyFont="1" applyFill="1" applyBorder="1" applyAlignment="1" applyProtection="1">
      <alignment horizontal="left" vertical="center"/>
    </xf>
    <xf numFmtId="0" fontId="12" fillId="2" borderId="1" xfId="1" applyFont="1" applyFill="1" applyBorder="1" applyAlignment="1" applyProtection="1">
      <alignment horizontal="center" vertic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0" borderId="0" xfId="1" applyFont="1" applyFill="1" applyBorder="1" applyAlignment="1" applyProtection="1">
      <alignment vertical="center"/>
    </xf>
    <xf numFmtId="165" fontId="13" fillId="0" borderId="2" xfId="1" applyNumberFormat="1" applyFont="1" applyFill="1" applyBorder="1" applyAlignment="1" applyProtection="1">
      <alignment horizontal="center" vertical="center"/>
      <protection locked="0"/>
    </xf>
    <xf numFmtId="165" fontId="18" fillId="0" borderId="0" xfId="1" applyNumberFormat="1" applyFont="1" applyBorder="1" applyAlignment="1">
      <alignment vertical="center"/>
    </xf>
    <xf numFmtId="0" fontId="9" fillId="2" borderId="14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vertical="center"/>
    </xf>
    <xf numFmtId="14" fontId="13" fillId="0" borderId="0" xfId="1" applyNumberFormat="1" applyFont="1" applyFill="1" applyBorder="1" applyAlignment="1" applyProtection="1">
      <alignment horizontal="left" vertical="center"/>
      <protection locked="0"/>
    </xf>
    <xf numFmtId="0" fontId="3" fillId="2" borderId="3" xfId="1" applyFont="1" applyFill="1" applyBorder="1" applyAlignment="1" applyProtection="1">
      <alignment horizontal="center" vertical="center"/>
    </xf>
    <xf numFmtId="0" fontId="1" fillId="0" borderId="4" xfId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0" fontId="1" fillId="2" borderId="4" xfId="1" applyFont="1" applyFill="1" applyBorder="1" applyAlignment="1" applyProtection="1">
      <alignment vertical="center"/>
    </xf>
    <xf numFmtId="16" fontId="1" fillId="2" borderId="4" xfId="1" applyNumberFormat="1" applyFont="1" applyFill="1" applyBorder="1" applyAlignment="1" applyProtection="1">
      <alignment horizontal="center" vertical="center"/>
    </xf>
    <xf numFmtId="0" fontId="13" fillId="4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</xf>
    <xf numFmtId="0" fontId="12" fillId="0" borderId="28" xfId="1" applyFont="1" applyBorder="1" applyAlignment="1" applyProtection="1">
      <alignment horizontal="center" vertical="center"/>
    </xf>
    <xf numFmtId="0" fontId="12" fillId="2" borderId="38" xfId="1" applyFont="1" applyFill="1" applyBorder="1" applyAlignment="1" applyProtection="1">
      <alignment vertical="center" wrapText="1"/>
    </xf>
    <xf numFmtId="0" fontId="12" fillId="2" borderId="15" xfId="1" applyFont="1" applyFill="1" applyBorder="1" applyAlignment="1" applyProtection="1">
      <alignment vertical="center" wrapText="1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165" fontId="13" fillId="2" borderId="0" xfId="1" applyNumberFormat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</xf>
    <xf numFmtId="0" fontId="12" fillId="0" borderId="0" xfId="1" applyFont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 wrapText="1"/>
      <protection locked="0"/>
    </xf>
    <xf numFmtId="1" fontId="13" fillId="2" borderId="0" xfId="1" applyNumberFormat="1" applyFont="1" applyFill="1" applyBorder="1" applyAlignment="1" applyProtection="1">
      <alignment horizontal="center" vertical="center"/>
      <protection locked="0"/>
    </xf>
    <xf numFmtId="1" fontId="13" fillId="4" borderId="8" xfId="1" applyNumberFormat="1" applyFont="1" applyFill="1" applyBorder="1" applyAlignment="1" applyProtection="1">
      <alignment horizontal="center" vertical="center"/>
      <protection locked="0"/>
    </xf>
    <xf numFmtId="1" fontId="13" fillId="4" borderId="12" xfId="1" applyNumberFormat="1" applyFont="1" applyFill="1" applyBorder="1" applyAlignment="1" applyProtection="1">
      <alignment horizontal="center" vertical="center"/>
      <protection locked="0"/>
    </xf>
    <xf numFmtId="164" fontId="12" fillId="0" borderId="0" xfId="1" applyNumberFormat="1" applyFont="1" applyBorder="1" applyAlignment="1" applyProtection="1">
      <alignment horizontal="center" vertical="center"/>
    </xf>
    <xf numFmtId="0" fontId="12" fillId="0" borderId="7" xfId="1" applyFont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9" fillId="2" borderId="0" xfId="1" applyFont="1" applyFill="1" applyBorder="1" applyAlignment="1" applyProtection="1">
      <alignment horizontal="center" vertical="center"/>
    </xf>
    <xf numFmtId="164" fontId="12" fillId="0" borderId="16" xfId="1" applyNumberFormat="1" applyFont="1" applyBorder="1" applyAlignment="1" applyProtection="1">
      <alignment horizontal="center" vertical="center"/>
    </xf>
    <xf numFmtId="164" fontId="12" fillId="0" borderId="12" xfId="1" applyNumberFormat="1" applyFont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 wrapText="1"/>
    </xf>
    <xf numFmtId="0" fontId="13" fillId="4" borderId="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13" fillId="0" borderId="0" xfId="1" applyFont="1" applyFill="1" applyBorder="1" applyAlignment="1" applyProtection="1">
      <alignment horizontal="left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3" fillId="2" borderId="16" xfId="1" applyFont="1" applyFill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164" fontId="13" fillId="4" borderId="7" xfId="1" applyNumberFormat="1" applyFont="1" applyFill="1" applyBorder="1" applyAlignment="1" applyProtection="1">
      <alignment horizontal="left" vertical="center"/>
      <protection locked="0"/>
    </xf>
    <xf numFmtId="0" fontId="14" fillId="0" borderId="26" xfId="1" applyFont="1" applyBorder="1" applyAlignment="1" applyProtection="1">
      <alignment horizontal="center" vertical="center"/>
    </xf>
    <xf numFmtId="0" fontId="14" fillId="0" borderId="27" xfId="1" applyFont="1" applyBorder="1" applyAlignment="1" applyProtection="1">
      <alignment horizontal="center" vertical="center"/>
    </xf>
    <xf numFmtId="0" fontId="12" fillId="2" borderId="29" xfId="1" applyFont="1" applyFill="1" applyBorder="1" applyAlignment="1" applyProtection="1">
      <alignment horizontal="left" vertical="center"/>
    </xf>
    <xf numFmtId="0" fontId="12" fillId="2" borderId="6" xfId="1" applyFont="1" applyFill="1" applyBorder="1" applyAlignment="1" applyProtection="1">
      <alignment horizontal="left" vertical="center"/>
    </xf>
    <xf numFmtId="49" fontId="12" fillId="4" borderId="17" xfId="1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1" applyNumberFormat="1" applyFont="1" applyFill="1" applyBorder="1" applyAlignment="1" applyProtection="1">
      <alignment horizontal="left" vertical="center" wrapText="1"/>
      <protection locked="0"/>
    </xf>
    <xf numFmtId="0" fontId="13" fillId="4" borderId="17" xfId="1" applyFont="1" applyFill="1" applyBorder="1" applyAlignment="1" applyProtection="1">
      <alignment horizontal="left" vertical="center"/>
      <protection locked="0"/>
    </xf>
    <xf numFmtId="0" fontId="13" fillId="4" borderId="30" xfId="1" applyFont="1" applyFill="1" applyBorder="1" applyAlignment="1" applyProtection="1">
      <alignment horizontal="left" vertical="center"/>
      <protection locked="0"/>
    </xf>
    <xf numFmtId="0" fontId="13" fillId="4" borderId="7" xfId="1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12" fillId="4" borderId="7" xfId="1" applyFont="1" applyFill="1" applyBorder="1" applyAlignment="1" applyProtection="1">
      <alignment horizontal="center" vertical="center"/>
      <protection locked="0"/>
    </xf>
    <xf numFmtId="14" fontId="13" fillId="4" borderId="7" xfId="1" quotePrefix="1" applyNumberFormat="1" applyFont="1" applyFill="1" applyBorder="1" applyAlignment="1" applyProtection="1">
      <alignment horizontal="left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9" fillId="0" borderId="19" xfId="1" applyFont="1" applyFill="1" applyBorder="1" applyAlignment="1" applyProtection="1">
      <alignment horizontal="center" vertical="center" wrapText="1"/>
    </xf>
    <xf numFmtId="0" fontId="19" fillId="0" borderId="20" xfId="1" applyFont="1" applyFill="1" applyBorder="1" applyAlignment="1" applyProtection="1">
      <alignment horizontal="center" vertical="center" wrapText="1"/>
    </xf>
    <xf numFmtId="0" fontId="19" fillId="0" borderId="21" xfId="1" applyFont="1" applyFill="1" applyBorder="1" applyAlignment="1" applyProtection="1">
      <alignment horizontal="center" vertical="center" wrapText="1"/>
    </xf>
    <xf numFmtId="0" fontId="19" fillId="0" borderId="22" xfId="1" applyFont="1" applyFill="1" applyBorder="1" applyAlignment="1" applyProtection="1">
      <alignment horizontal="center" vertical="center" wrapText="1"/>
    </xf>
    <xf numFmtId="0" fontId="19" fillId="0" borderId="18" xfId="1" applyFont="1" applyFill="1" applyBorder="1" applyAlignment="1" applyProtection="1">
      <alignment horizontal="center" vertical="center" wrapText="1"/>
    </xf>
    <xf numFmtId="0" fontId="19" fillId="0" borderId="23" xfId="1" applyFont="1" applyFill="1" applyBorder="1" applyAlignment="1" applyProtection="1">
      <alignment horizontal="center" vertical="center" wrapText="1"/>
    </xf>
    <xf numFmtId="2" fontId="19" fillId="4" borderId="19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4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0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0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2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18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5" xfId="1" applyNumberFormat="1" applyFont="1" applyFill="1" applyBorder="1" applyAlignment="1" applyProtection="1">
      <alignment horizontal="center" vertical="center" wrapText="1"/>
      <protection locked="0"/>
    </xf>
    <xf numFmtId="2" fontId="19" fillId="4" borderId="23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7" xfId="1" applyFont="1" applyFill="1" applyBorder="1" applyAlignment="1" applyProtection="1">
      <alignment horizontal="center" vertical="center" wrapText="1"/>
      <protection locked="0"/>
    </xf>
    <xf numFmtId="0" fontId="12" fillId="2" borderId="7" xfId="1" applyFont="1" applyFill="1" applyBorder="1" applyAlignment="1">
      <alignment horizontal="center" vertical="center"/>
    </xf>
    <xf numFmtId="0" fontId="12" fillId="2" borderId="36" xfId="1" applyFont="1" applyFill="1" applyBorder="1" applyAlignment="1" applyProtection="1">
      <alignment horizontal="center" vertical="center" wrapText="1"/>
    </xf>
    <xf numFmtId="0" fontId="12" fillId="2" borderId="37" xfId="1" applyFont="1" applyFill="1" applyBorder="1" applyAlignment="1" applyProtection="1">
      <alignment horizontal="center" vertical="center" wrapText="1"/>
    </xf>
    <xf numFmtId="0" fontId="12" fillId="2" borderId="35" xfId="1" applyFont="1" applyFill="1" applyBorder="1" applyAlignment="1" applyProtection="1">
      <alignment horizontal="center" vertical="center" wrapText="1"/>
    </xf>
    <xf numFmtId="0" fontId="12" fillId="2" borderId="13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/>
    </xf>
    <xf numFmtId="165" fontId="12" fillId="2" borderId="14" xfId="1" applyNumberFormat="1" applyFont="1" applyFill="1" applyBorder="1" applyAlignment="1" applyProtection="1">
      <alignment horizontal="center" vertical="center"/>
    </xf>
    <xf numFmtId="165" fontId="12" fillId="2" borderId="38" xfId="1" applyNumberFormat="1" applyFont="1" applyFill="1" applyBorder="1" applyAlignment="1" applyProtection="1">
      <alignment horizontal="center" vertical="center"/>
    </xf>
    <xf numFmtId="165" fontId="12" fillId="2" borderId="15" xfId="1" applyNumberFormat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13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2" fillId="0" borderId="14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3" fillId="4" borderId="40" xfId="1" applyFont="1" applyFill="1" applyBorder="1" applyAlignment="1" applyProtection="1">
      <alignment horizontal="center" vertical="center"/>
      <protection locked="0"/>
    </xf>
    <xf numFmtId="0" fontId="13" fillId="4" borderId="44" xfId="1" applyFont="1" applyFill="1" applyBorder="1" applyAlignment="1" applyProtection="1">
      <alignment horizontal="center" vertical="center"/>
      <protection locked="0"/>
    </xf>
    <xf numFmtId="0" fontId="13" fillId="2" borderId="16" xfId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2" fillId="2" borderId="13" xfId="1" applyFont="1" applyFill="1" applyBorder="1" applyAlignment="1" applyProtection="1">
      <alignment horizontal="center" vertical="center" wrapText="1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166" fontId="12" fillId="2" borderId="8" xfId="1" applyNumberFormat="1" applyFont="1" applyFill="1" applyBorder="1" applyAlignment="1" applyProtection="1">
      <alignment horizontal="center" vertical="center"/>
    </xf>
    <xf numFmtId="166" fontId="12" fillId="2" borderId="12" xfId="1" applyNumberFormat="1" applyFont="1" applyFill="1" applyBorder="1" applyAlignment="1" applyProtection="1">
      <alignment horizontal="center" vertical="center"/>
    </xf>
    <xf numFmtId="166" fontId="12" fillId="2" borderId="0" xfId="1" applyNumberFormat="1" applyFont="1" applyFill="1" applyBorder="1" applyAlignment="1" applyProtection="1">
      <alignment horizontal="center" vertical="center"/>
    </xf>
    <xf numFmtId="0" fontId="10" fillId="2" borderId="6" xfId="1" applyFont="1" applyFill="1" applyBorder="1" applyAlignment="1" applyProtection="1">
      <alignment horizontal="left" vertical="top" wrapText="1"/>
    </xf>
    <xf numFmtId="0" fontId="10" fillId="2" borderId="7" xfId="1" applyFont="1" applyFill="1" applyBorder="1" applyAlignment="1" applyProtection="1">
      <alignment horizontal="left" vertical="top" wrapText="1"/>
    </xf>
    <xf numFmtId="165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34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8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left" vertical="top" wrapText="1"/>
    </xf>
    <xf numFmtId="2" fontId="12" fillId="4" borderId="7" xfId="1" applyNumberFormat="1" applyFont="1" applyFill="1" applyBorder="1" applyAlignment="1" applyProtection="1">
      <alignment horizontal="center" vertical="center"/>
      <protection locked="0"/>
    </xf>
    <xf numFmtId="2" fontId="12" fillId="4" borderId="34" xfId="1" applyNumberFormat="1" applyFont="1" applyFill="1" applyBorder="1" applyAlignment="1" applyProtection="1">
      <alignment horizontal="center" vertical="center"/>
      <protection locked="0"/>
    </xf>
    <xf numFmtId="2" fontId="12" fillId="4" borderId="8" xfId="1" applyNumberFormat="1" applyFont="1" applyFill="1" applyBorder="1" applyAlignment="1" applyProtection="1">
      <alignment horizontal="center" vertical="center"/>
      <protection locked="0"/>
    </xf>
    <xf numFmtId="1" fontId="12" fillId="4" borderId="7" xfId="1" applyNumberFormat="1" applyFont="1" applyFill="1" applyBorder="1" applyAlignment="1" applyProtection="1">
      <alignment horizontal="center" vertical="center"/>
      <protection locked="0"/>
    </xf>
    <xf numFmtId="1" fontId="12" fillId="4" borderId="34" xfId="1" applyNumberFormat="1" applyFont="1" applyFill="1" applyBorder="1" applyAlignment="1" applyProtection="1">
      <alignment horizontal="center" vertical="center"/>
      <protection locked="0"/>
    </xf>
    <xf numFmtId="1" fontId="12" fillId="4" borderId="8" xfId="1" applyNumberFormat="1" applyFont="1" applyFill="1" applyBorder="1" applyAlignment="1" applyProtection="1">
      <alignment horizontal="center" vertical="center"/>
      <protection locked="0"/>
    </xf>
    <xf numFmtId="166" fontId="12" fillId="2" borderId="7" xfId="1" applyNumberFormat="1" applyFont="1" applyFill="1" applyBorder="1" applyAlignment="1" applyProtection="1">
      <alignment horizontal="center" vertical="center"/>
    </xf>
    <xf numFmtId="166" fontId="12" fillId="2" borderId="34" xfId="1" applyNumberFormat="1" applyFont="1" applyFill="1" applyBorder="1" applyAlignment="1" applyProtection="1">
      <alignment horizontal="center" vertical="center"/>
    </xf>
    <xf numFmtId="0" fontId="10" fillId="2" borderId="11" xfId="1" applyFont="1" applyFill="1" applyBorder="1" applyAlignment="1" applyProtection="1">
      <alignment horizontal="left" vertical="top" wrapText="1"/>
    </xf>
    <xf numFmtId="0" fontId="0" fillId="0" borderId="16" xfId="0" applyBorder="1" applyAlignment="1" applyProtection="1">
      <alignment horizontal="left" vertical="top" wrapText="1"/>
    </xf>
    <xf numFmtId="166" fontId="12" fillId="2" borderId="16" xfId="1" applyNumberFormat="1" applyFont="1" applyFill="1" applyBorder="1" applyAlignment="1" applyProtection="1">
      <alignment horizontal="center" vertical="center"/>
    </xf>
    <xf numFmtId="166" fontId="12" fillId="2" borderId="40" xfId="1" applyNumberFormat="1" applyFont="1" applyFill="1" applyBorder="1" applyAlignment="1" applyProtection="1">
      <alignment horizontal="center" vertical="center"/>
    </xf>
    <xf numFmtId="0" fontId="13" fillId="0" borderId="39" xfId="1" applyFont="1" applyFill="1" applyBorder="1" applyAlignment="1" applyProtection="1">
      <alignment horizontal="center" vertical="center"/>
    </xf>
    <xf numFmtId="1" fontId="12" fillId="2" borderId="14" xfId="1" applyNumberFormat="1" applyFont="1" applyFill="1" applyBorder="1" applyAlignment="1" applyProtection="1">
      <alignment horizontal="center" vertical="center" wrapText="1"/>
    </xf>
    <xf numFmtId="1" fontId="12" fillId="2" borderId="14" xfId="1" applyNumberFormat="1" applyFont="1" applyFill="1" applyBorder="1" applyAlignment="1" applyProtection="1">
      <alignment horizontal="center" vertical="center"/>
    </xf>
    <xf numFmtId="2" fontId="12" fillId="2" borderId="14" xfId="1" applyNumberFormat="1" applyFont="1" applyFill="1" applyBorder="1" applyAlignment="1" applyProtection="1">
      <alignment horizontal="center" vertical="center" wrapText="1"/>
    </xf>
    <xf numFmtId="2" fontId="12" fillId="2" borderId="14" xfId="1" applyNumberFormat="1" applyFont="1" applyFill="1" applyBorder="1" applyAlignment="1" applyProtection="1">
      <alignment horizontal="center" vertical="center"/>
    </xf>
    <xf numFmtId="0" fontId="12" fillId="2" borderId="38" xfId="1" applyFont="1" applyFill="1" applyBorder="1" applyAlignment="1" applyProtection="1">
      <alignment horizontal="center" vertical="center" wrapText="1"/>
    </xf>
    <xf numFmtId="0" fontId="12" fillId="2" borderId="41" xfId="1" applyFont="1" applyFill="1" applyBorder="1" applyAlignment="1" applyProtection="1">
      <alignment horizontal="center" vertical="center" wrapText="1"/>
    </xf>
    <xf numFmtId="0" fontId="12" fillId="2" borderId="42" xfId="1" applyFont="1" applyFill="1" applyBorder="1" applyAlignment="1" applyProtection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 wrapText="1"/>
    </xf>
    <xf numFmtId="0" fontId="12" fillId="2" borderId="15" xfId="1" applyFont="1" applyFill="1" applyBorder="1" applyAlignment="1" applyProtection="1">
      <alignment horizontal="center" vertical="center" wrapText="1"/>
    </xf>
    <xf numFmtId="0" fontId="13" fillId="0" borderId="16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</xf>
    <xf numFmtId="0" fontId="13" fillId="4" borderId="40" xfId="1" applyFont="1" applyFill="1" applyBorder="1" applyAlignment="1" applyProtection="1">
      <alignment horizontal="center" vertical="center"/>
    </xf>
    <xf numFmtId="0" fontId="13" fillId="4" borderId="43" xfId="1" applyFont="1" applyFill="1" applyBorder="1" applyAlignment="1" applyProtection="1">
      <alignment horizontal="center" vertical="center"/>
    </xf>
    <xf numFmtId="0" fontId="13" fillId="4" borderId="44" xfId="1" applyFont="1" applyFill="1" applyBorder="1" applyAlignment="1" applyProtection="1">
      <alignment horizontal="center" vertical="center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5" fillId="0" borderId="13" xfId="1" applyFont="1" applyFill="1" applyBorder="1" applyAlignment="1" applyProtection="1">
      <alignment horizontal="center" vertical="center"/>
    </xf>
    <xf numFmtId="0" fontId="15" fillId="0" borderId="14" xfId="1" applyFont="1" applyFill="1" applyBorder="1" applyAlignment="1" applyProtection="1">
      <alignment horizontal="center" vertical="center"/>
    </xf>
    <xf numFmtId="0" fontId="15" fillId="0" borderId="15" xfId="1" applyFont="1" applyFill="1" applyBorder="1" applyAlignment="1" applyProtection="1">
      <alignment horizontal="center" vertical="center"/>
    </xf>
    <xf numFmtId="0" fontId="12" fillId="2" borderId="4" xfId="1" applyFont="1" applyFill="1" applyBorder="1" applyAlignment="1" applyProtection="1">
      <alignment horizontal="center" vertical="center"/>
    </xf>
    <xf numFmtId="0" fontId="12" fillId="2" borderId="5" xfId="1" applyFont="1" applyFill="1" applyBorder="1" applyAlignment="1" applyProtection="1">
      <alignment horizontal="center" vertical="center"/>
    </xf>
    <xf numFmtId="0" fontId="12" fillId="0" borderId="31" xfId="1" applyFont="1" applyBorder="1" applyAlignment="1" applyProtection="1">
      <alignment horizontal="center" vertical="center"/>
    </xf>
    <xf numFmtId="0" fontId="12" fillId="0" borderId="32" xfId="1" applyFont="1" applyBorder="1" applyAlignment="1" applyProtection="1">
      <alignment horizontal="center" vertical="center"/>
    </xf>
    <xf numFmtId="0" fontId="12" fillId="0" borderId="33" xfId="1" applyFont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 wrapText="1"/>
    </xf>
    <xf numFmtId="1" fontId="13" fillId="4" borderId="34" xfId="1" applyNumberFormat="1" applyFont="1" applyFill="1" applyBorder="1" applyAlignment="1" applyProtection="1">
      <alignment horizontal="center" vertical="center"/>
      <protection locked="0"/>
    </xf>
    <xf numFmtId="1" fontId="13" fillId="4" borderId="35" xfId="1" applyNumberFormat="1" applyFont="1" applyFill="1" applyBorder="1" applyAlignment="1" applyProtection="1">
      <alignment horizontal="center" vertical="center"/>
      <protection locked="0"/>
    </xf>
    <xf numFmtId="0" fontId="13" fillId="4" borderId="7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mruColors>
      <color rgb="FFB5C7F9"/>
      <color rgb="FF97A2F1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%Cumulative</a:t>
            </a:r>
            <a:r>
              <a:rPr lang="en-IN" baseline="0"/>
              <a:t> release of Amphotericin B from Liposomes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'1'!$A$58:$A$70</c:f>
              <c:numCache>
                <c:formatCode>0.0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'1'!$H$58:$H$70</c:f>
              <c:numCache>
                <c:formatCode>0.0</c:formatCode>
                <c:ptCount val="13"/>
                <c:pt idx="0">
                  <c:v>9.5845456000000002</c:v>
                </c:pt>
                <c:pt idx="1">
                  <c:v>55.678621719919192</c:v>
                </c:pt>
                <c:pt idx="2">
                  <c:v>105.10660236114286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55-46BA-9EBA-B53798B9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5360"/>
        <c:axId val="166044968"/>
      </c:scatterChart>
      <c:valAx>
        <c:axId val="16604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4968"/>
        <c:crosses val="autoZero"/>
        <c:crossBetween val="midCat"/>
      </c:valAx>
      <c:valAx>
        <c:axId val="16604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356534</xdr:colOff>
      <xdr:row>12</xdr:row>
      <xdr:rowOff>226546</xdr:rowOff>
    </xdr:from>
    <xdr:to>
      <xdr:col>3</xdr:col>
      <xdr:colOff>813734</xdr:colOff>
      <xdr:row>12</xdr:row>
      <xdr:rowOff>226546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4919009" y="51890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393700</xdr:colOff>
      <xdr:row>12</xdr:row>
      <xdr:rowOff>203200</xdr:rowOff>
    </xdr:from>
    <xdr:to>
      <xdr:col>8</xdr:col>
      <xdr:colOff>850900</xdr:colOff>
      <xdr:row>12</xdr:row>
      <xdr:rowOff>203200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0414000" y="51657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292100</xdr:colOff>
      <xdr:row>12</xdr:row>
      <xdr:rowOff>190500</xdr:rowOff>
    </xdr:from>
    <xdr:to>
      <xdr:col>12</xdr:col>
      <xdr:colOff>749300</xdr:colOff>
      <xdr:row>12</xdr:row>
      <xdr:rowOff>190500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15217775" y="51530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34</xdr:row>
      <xdr:rowOff>205921</xdr:rowOff>
    </xdr:from>
    <xdr:to>
      <xdr:col>2</xdr:col>
      <xdr:colOff>904422</xdr:colOff>
      <xdr:row>34</xdr:row>
      <xdr:rowOff>205921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4009572" y="14902996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33</xdr:row>
      <xdr:rowOff>205921</xdr:rowOff>
    </xdr:from>
    <xdr:to>
      <xdr:col>2</xdr:col>
      <xdr:colOff>904422</xdr:colOff>
      <xdr:row>33</xdr:row>
      <xdr:rowOff>205921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4009572" y="142457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1004454</xdr:colOff>
      <xdr:row>41</xdr:row>
      <xdr:rowOff>69273</xdr:rowOff>
    </xdr:from>
    <xdr:to>
      <xdr:col>14</xdr:col>
      <xdr:colOff>779318</xdr:colOff>
      <xdr:row>51</xdr:row>
      <xdr:rowOff>116031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1.220\ANDA_Hinj\anda_hinj\TEAM2000\Pramanick\Loratadine\LOR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"/>
      <sheetName val="0.5-SLS"/>
      <sheetName val="2.1-SGF"/>
      <sheetName val="0.1N Hcl"/>
      <sheetName val="4.0Acetate"/>
      <sheetName val="stab"/>
      <sheetName val="Diss-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4"/>
  <sheetViews>
    <sheetView showGridLines="0" tabSelected="1" topLeftCell="A34" zoomScale="50" zoomScaleNormal="50" zoomScaleSheetLayoutView="55" workbookViewId="0">
      <selection activeCell="D63" sqref="D63"/>
    </sheetView>
  </sheetViews>
  <sheetFormatPr defaultRowHeight="15" customHeight="1" x14ac:dyDescent="0.25"/>
  <cols>
    <col min="1" max="1" width="34.5703125" style="1" customWidth="1"/>
    <col min="2" max="2" width="18.85546875" style="1" customWidth="1"/>
    <col min="3" max="3" width="15" style="1" customWidth="1"/>
    <col min="4" max="4" width="14.85546875" style="1" customWidth="1"/>
    <col min="5" max="5" width="16" style="1" customWidth="1"/>
    <col min="6" max="6" width="17.5703125" style="1" customWidth="1"/>
    <col min="7" max="8" width="16.7109375" style="1" customWidth="1"/>
    <col min="9" max="9" width="16.28515625" style="1" customWidth="1"/>
    <col min="10" max="10" width="16.42578125" style="1" customWidth="1"/>
    <col min="11" max="11" width="18.5703125" style="1" customWidth="1"/>
    <col min="12" max="12" width="22.28515625" style="1" customWidth="1"/>
    <col min="13" max="13" width="14.85546875" style="1" customWidth="1"/>
    <col min="14" max="14" width="15.140625" style="1" customWidth="1"/>
    <col min="15" max="15" width="11.85546875" style="1" customWidth="1"/>
    <col min="16" max="16" width="14.85546875" style="1" customWidth="1"/>
    <col min="17" max="17" width="13.28515625" style="1" customWidth="1"/>
    <col min="18" max="18" width="8.28515625" style="1" customWidth="1"/>
    <col min="19" max="19" width="22.5703125" style="1" customWidth="1"/>
    <col min="20" max="20" width="9.140625" style="1" hidden="1" customWidth="1"/>
    <col min="21" max="16384" width="9.140625" style="1"/>
  </cols>
  <sheetData>
    <row r="1" spans="1:21" ht="60.75" customHeight="1" thickBot="1" x14ac:dyDescent="0.3">
      <c r="A1" s="146" t="s">
        <v>63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15" t="s">
        <v>73</v>
      </c>
    </row>
    <row r="2" spans="1:21" s="3" customFormat="1" ht="30" customHeight="1" x14ac:dyDescent="0.25">
      <c r="A2" s="148" t="s">
        <v>1</v>
      </c>
      <c r="B2" s="150" t="s">
        <v>82</v>
      </c>
      <c r="C2" s="150"/>
      <c r="D2" s="150"/>
      <c r="E2" s="150"/>
      <c r="F2" s="150"/>
      <c r="G2" s="150"/>
      <c r="H2" s="150"/>
      <c r="I2" s="150"/>
      <c r="J2" s="54"/>
      <c r="K2" s="98" t="s">
        <v>68</v>
      </c>
      <c r="L2" s="152" t="s">
        <v>98</v>
      </c>
      <c r="M2" s="152"/>
      <c r="N2" s="152"/>
      <c r="O2" s="152"/>
      <c r="P2" s="152"/>
      <c r="Q2" s="152"/>
      <c r="R2" s="152"/>
      <c r="S2" s="152"/>
      <c r="T2" s="153"/>
      <c r="U2" s="2"/>
    </row>
    <row r="3" spans="1:21" s="3" customFormat="1" ht="30" customHeight="1" x14ac:dyDescent="0.25">
      <c r="A3" s="149"/>
      <c r="B3" s="151"/>
      <c r="C3" s="151"/>
      <c r="D3" s="151"/>
      <c r="E3" s="151"/>
      <c r="F3" s="151"/>
      <c r="G3" s="151"/>
      <c r="H3" s="151"/>
      <c r="I3" s="151"/>
      <c r="J3" s="54"/>
      <c r="K3" s="55" t="s">
        <v>0</v>
      </c>
      <c r="L3" s="113" t="s">
        <v>77</v>
      </c>
      <c r="M3" s="54"/>
      <c r="N3" s="2"/>
      <c r="O3" s="2"/>
      <c r="P3" s="2"/>
      <c r="Q3" s="2"/>
      <c r="R3" s="54"/>
      <c r="S3" s="56"/>
    </row>
    <row r="4" spans="1:21" s="3" customFormat="1" ht="30" customHeight="1" x14ac:dyDescent="0.25">
      <c r="A4" s="57" t="s">
        <v>70</v>
      </c>
      <c r="B4" s="145">
        <v>50</v>
      </c>
      <c r="C4" s="145"/>
      <c r="D4" s="145"/>
      <c r="E4" s="145"/>
      <c r="F4" s="145"/>
      <c r="G4" s="145"/>
      <c r="H4" s="145"/>
      <c r="I4" s="145"/>
      <c r="J4" s="54"/>
      <c r="K4" s="55" t="s">
        <v>2</v>
      </c>
      <c r="L4" s="135">
        <v>75</v>
      </c>
      <c r="M4" s="54"/>
      <c r="N4" s="2"/>
      <c r="O4" s="2"/>
      <c r="P4" s="2"/>
      <c r="Q4" s="2"/>
      <c r="R4" s="54"/>
      <c r="S4" s="56"/>
    </row>
    <row r="5" spans="1:21" s="3" customFormat="1" ht="30" customHeight="1" x14ac:dyDescent="0.25">
      <c r="A5" s="57" t="s">
        <v>72</v>
      </c>
      <c r="B5" s="145" t="s">
        <v>88</v>
      </c>
      <c r="C5" s="145"/>
      <c r="D5" s="145"/>
      <c r="E5" s="145"/>
      <c r="F5" s="145"/>
      <c r="G5" s="145"/>
      <c r="H5" s="145"/>
      <c r="I5" s="145"/>
      <c r="J5" s="54"/>
      <c r="K5" s="55" t="s">
        <v>71</v>
      </c>
      <c r="L5" s="49" t="s">
        <v>97</v>
      </c>
      <c r="M5" s="54"/>
      <c r="N5" s="54"/>
      <c r="O5" s="54"/>
      <c r="P5" s="54"/>
      <c r="Q5" s="54"/>
      <c r="R5" s="54"/>
      <c r="S5" s="56"/>
    </row>
    <row r="6" spans="1:21" s="3" customFormat="1" ht="30" customHeight="1" x14ac:dyDescent="0.25">
      <c r="A6" s="57" t="s">
        <v>5</v>
      </c>
      <c r="B6" s="154" t="s">
        <v>101</v>
      </c>
      <c r="C6" s="154"/>
      <c r="D6" s="154"/>
      <c r="E6" s="155"/>
      <c r="F6" s="155"/>
      <c r="G6" s="155"/>
      <c r="H6" s="155"/>
      <c r="I6" s="155"/>
      <c r="J6" s="58"/>
      <c r="K6" s="140"/>
      <c r="L6" s="59"/>
      <c r="M6" s="54"/>
      <c r="N6" s="96" t="s">
        <v>4</v>
      </c>
      <c r="O6" s="156" t="s">
        <v>99</v>
      </c>
      <c r="P6" s="156"/>
      <c r="Q6" s="156"/>
      <c r="R6" s="58"/>
      <c r="S6" s="56"/>
    </row>
    <row r="7" spans="1:21" s="3" customFormat="1" ht="30" customHeight="1" x14ac:dyDescent="0.25">
      <c r="A7" s="57" t="s">
        <v>67</v>
      </c>
      <c r="B7" s="157">
        <v>45384</v>
      </c>
      <c r="C7" s="155"/>
      <c r="D7" s="155"/>
      <c r="E7" s="155"/>
      <c r="F7" s="155"/>
      <c r="G7" s="155"/>
      <c r="H7" s="155"/>
      <c r="I7" s="155"/>
      <c r="J7" s="58"/>
      <c r="K7" s="140"/>
      <c r="L7" s="59"/>
      <c r="M7" s="54"/>
      <c r="N7" s="97"/>
      <c r="O7" s="158"/>
      <c r="P7" s="158"/>
      <c r="Q7" s="158"/>
      <c r="R7" s="158"/>
      <c r="S7" s="56"/>
    </row>
    <row r="8" spans="1:21" s="3" customFormat="1" ht="30" customHeight="1" x14ac:dyDescent="0.25">
      <c r="A8" s="105"/>
      <c r="B8" s="106"/>
      <c r="C8" s="106"/>
      <c r="D8" s="106"/>
      <c r="E8" s="58"/>
      <c r="F8" s="2"/>
      <c r="G8" s="2"/>
      <c r="H8" s="2"/>
      <c r="I8" s="2"/>
      <c r="J8" s="2"/>
      <c r="K8" s="159" t="s">
        <v>75</v>
      </c>
      <c r="L8" s="160"/>
      <c r="M8" s="165" t="s">
        <v>103</v>
      </c>
      <c r="N8" s="166"/>
      <c r="O8" s="166"/>
      <c r="P8" s="166"/>
      <c r="Q8" s="166"/>
      <c r="R8" s="167"/>
      <c r="S8" s="56"/>
    </row>
    <row r="9" spans="1:21" s="3" customFormat="1" ht="30" customHeight="1" x14ac:dyDescent="0.25">
      <c r="A9" s="143" t="s">
        <v>66</v>
      </c>
      <c r="B9" s="174" t="s">
        <v>106</v>
      </c>
      <c r="C9" s="174"/>
      <c r="D9" s="174"/>
      <c r="E9" s="58"/>
      <c r="F9" s="175" t="s">
        <v>81</v>
      </c>
      <c r="G9" s="175"/>
      <c r="H9" s="175"/>
      <c r="I9" s="175"/>
      <c r="J9" s="2"/>
      <c r="K9" s="161"/>
      <c r="L9" s="162"/>
      <c r="M9" s="168"/>
      <c r="N9" s="169"/>
      <c r="O9" s="169"/>
      <c r="P9" s="169"/>
      <c r="Q9" s="169"/>
      <c r="R9" s="170"/>
      <c r="S9" s="56"/>
    </row>
    <row r="10" spans="1:21" s="3" customFormat="1" ht="30" customHeight="1" x14ac:dyDescent="0.25">
      <c r="A10" s="176"/>
      <c r="B10" s="177"/>
      <c r="C10" s="177"/>
      <c r="D10" s="178"/>
      <c r="E10" s="58"/>
      <c r="F10" s="156" t="s">
        <v>99</v>
      </c>
      <c r="G10" s="156"/>
      <c r="H10" s="156"/>
      <c r="I10" s="156"/>
      <c r="J10" s="2"/>
      <c r="K10" s="163"/>
      <c r="L10" s="164"/>
      <c r="M10" s="171"/>
      <c r="N10" s="172"/>
      <c r="O10" s="172"/>
      <c r="P10" s="172"/>
      <c r="Q10" s="172"/>
      <c r="R10" s="173"/>
      <c r="S10" s="56"/>
    </row>
    <row r="11" spans="1:21" s="3" customFormat="1" ht="30" customHeight="1" thickBot="1" x14ac:dyDescent="0.3">
      <c r="A11" s="60"/>
      <c r="B11" s="61"/>
      <c r="C11" s="62"/>
      <c r="D11" s="62"/>
      <c r="E11" s="63"/>
      <c r="F11" s="64"/>
      <c r="G11" s="65"/>
      <c r="H11" s="65"/>
      <c r="I11" s="65"/>
      <c r="J11" s="63"/>
      <c r="K11" s="62"/>
      <c r="L11" s="66"/>
      <c r="M11" s="67"/>
      <c r="N11" s="97"/>
      <c r="O11" s="158"/>
      <c r="P11" s="158"/>
      <c r="Q11" s="158"/>
      <c r="R11" s="158"/>
      <c r="S11" s="69"/>
    </row>
    <row r="12" spans="1:21" ht="30" customHeight="1" x14ac:dyDescent="0.25">
      <c r="A12" s="184" t="s">
        <v>6</v>
      </c>
      <c r="B12" s="186" t="s">
        <v>95</v>
      </c>
      <c r="C12" s="141" t="s">
        <v>7</v>
      </c>
      <c r="D12" s="188" t="s">
        <v>8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9" t="s">
        <v>62</v>
      </c>
      <c r="R12" s="189"/>
      <c r="S12" s="114" t="s">
        <v>61</v>
      </c>
    </row>
    <row r="13" spans="1:21" s="3" customFormat="1" ht="30" customHeight="1" thickBot="1" x14ac:dyDescent="0.3">
      <c r="A13" s="185"/>
      <c r="B13" s="187"/>
      <c r="C13" s="46">
        <v>5</v>
      </c>
      <c r="D13" s="70" t="s">
        <v>9</v>
      </c>
      <c r="E13" s="138">
        <v>25</v>
      </c>
      <c r="F13" s="142" t="s">
        <v>87</v>
      </c>
      <c r="G13" s="190">
        <v>5</v>
      </c>
      <c r="H13" s="191"/>
      <c r="I13" s="70" t="s">
        <v>60</v>
      </c>
      <c r="J13" s="138">
        <v>100</v>
      </c>
      <c r="K13" s="142" t="s">
        <v>87</v>
      </c>
      <c r="L13" s="138">
        <v>5</v>
      </c>
      <c r="M13" s="70" t="s">
        <v>10</v>
      </c>
      <c r="N13" s="138">
        <v>50</v>
      </c>
      <c r="O13" s="192" t="s">
        <v>21</v>
      </c>
      <c r="P13" s="192"/>
      <c r="Q13" s="193">
        <v>99.4</v>
      </c>
      <c r="R13" s="193"/>
      <c r="S13" s="47">
        <f>ROUND(C13/E13*G13/J13*L13/N13*Q13/100*1000,3)</f>
        <v>0.99399999999999999</v>
      </c>
    </row>
    <row r="14" spans="1:21" s="3" customFormat="1" ht="30" customHeight="1" thickBot="1" x14ac:dyDescent="0.3">
      <c r="A14" s="71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6"/>
    </row>
    <row r="15" spans="1:21" s="3" customFormat="1" ht="30" customHeight="1" x14ac:dyDescent="0.25">
      <c r="A15" s="194" t="s">
        <v>59</v>
      </c>
      <c r="B15" s="136" t="s">
        <v>11</v>
      </c>
      <c r="C15" s="136" t="s">
        <v>28</v>
      </c>
      <c r="D15" s="136" t="s">
        <v>29</v>
      </c>
      <c r="E15" s="136" t="s">
        <v>30</v>
      </c>
      <c r="F15" s="136" t="s">
        <v>31</v>
      </c>
      <c r="G15" s="136" t="s">
        <v>32</v>
      </c>
      <c r="H15" s="136" t="s">
        <v>89</v>
      </c>
      <c r="I15" s="136" t="s">
        <v>33</v>
      </c>
      <c r="J15" s="114" t="s">
        <v>13</v>
      </c>
      <c r="K15" s="2"/>
      <c r="L15" s="54"/>
      <c r="M15" s="54"/>
      <c r="N15" s="54"/>
      <c r="O15" s="54"/>
      <c r="P15" s="54"/>
      <c r="Q15" s="54"/>
      <c r="R15" s="54"/>
      <c r="S15" s="56"/>
    </row>
    <row r="16" spans="1:21" s="3" customFormat="1" ht="30" customHeight="1" thickBot="1" x14ac:dyDescent="0.3">
      <c r="A16" s="195"/>
      <c r="B16" s="68" t="s">
        <v>14</v>
      </c>
      <c r="C16" s="48">
        <v>125000</v>
      </c>
      <c r="D16" s="48"/>
      <c r="E16" s="48"/>
      <c r="F16" s="48"/>
      <c r="G16" s="48"/>
      <c r="H16" s="48"/>
      <c r="I16" s="144">
        <f>AVERAGE(C16:H16)</f>
        <v>125000</v>
      </c>
      <c r="J16" s="139" t="e">
        <f>TRUNC(STDEV(C16:H16)/I16*100,5)</f>
        <v>#DIV/0!</v>
      </c>
      <c r="K16" s="2"/>
      <c r="L16" s="72"/>
      <c r="M16" s="54"/>
      <c r="N16" s="54"/>
      <c r="O16" s="73"/>
      <c r="P16" s="73"/>
      <c r="Q16" s="54"/>
      <c r="R16" s="54"/>
      <c r="S16" s="56"/>
    </row>
    <row r="17" spans="1:19" s="3" customFormat="1" ht="30" customHeight="1" thickBot="1" x14ac:dyDescent="0.3">
      <c r="A17" s="19"/>
      <c r="B17" s="16"/>
      <c r="C17" s="16"/>
      <c r="D17" s="16"/>
      <c r="E17" s="16"/>
      <c r="F17" s="20"/>
      <c r="G17" s="16"/>
      <c r="H17" s="16"/>
      <c r="I17" s="16"/>
      <c r="J17" s="21"/>
      <c r="K17" s="42"/>
      <c r="L17" s="42"/>
      <c r="M17" s="42"/>
      <c r="N17" s="90"/>
      <c r="O17" s="90"/>
      <c r="P17" s="91"/>
      <c r="Q17" s="45"/>
      <c r="R17" s="42"/>
      <c r="S17" s="43"/>
    </row>
    <row r="18" spans="1:19" s="3" customFormat="1" ht="30" customHeight="1" x14ac:dyDescent="0.25">
      <c r="A18" s="194" t="s">
        <v>58</v>
      </c>
      <c r="B18" s="104" t="s">
        <v>34</v>
      </c>
      <c r="C18" s="104" t="s">
        <v>35</v>
      </c>
      <c r="D18" s="104" t="s">
        <v>36</v>
      </c>
      <c r="E18" s="104" t="s">
        <v>37</v>
      </c>
      <c r="F18" s="104" t="s">
        <v>38</v>
      </c>
      <c r="G18" s="104" t="s">
        <v>39</v>
      </c>
      <c r="H18" s="104" t="s">
        <v>33</v>
      </c>
      <c r="I18" s="93" t="s">
        <v>13</v>
      </c>
      <c r="J18" s="131"/>
      <c r="K18" s="45"/>
      <c r="L18" s="42"/>
      <c r="M18" s="42"/>
      <c r="N18" s="42"/>
      <c r="O18" s="42"/>
      <c r="P18" s="42"/>
      <c r="Q18" s="42"/>
      <c r="R18" s="42"/>
      <c r="S18" s="43"/>
    </row>
    <row r="19" spans="1:19" s="3" customFormat="1" ht="30" customHeight="1" x14ac:dyDescent="0.25">
      <c r="A19" s="196"/>
      <c r="B19" s="49"/>
      <c r="C19" s="49"/>
      <c r="D19" s="49"/>
      <c r="E19" s="49"/>
      <c r="F19" s="49"/>
      <c r="G19" s="49"/>
      <c r="H19" s="198">
        <f>TRUNC(AVERAGE(B16:H16,A19:G19,A21:F21,A23:F23,A25:F25),1)</f>
        <v>125000</v>
      </c>
      <c r="I19" s="200" t="e">
        <f>TRUNC(STDEV(B16:H16,B19:G19,B21:F21,B23:F23,B25:F25)/H19*100,5)</f>
        <v>#DIV/0!</v>
      </c>
      <c r="J19" s="202"/>
      <c r="K19" s="45"/>
      <c r="L19" s="44"/>
      <c r="M19" s="44"/>
      <c r="N19" s="44"/>
      <c r="O19" s="42"/>
      <c r="P19" s="42"/>
      <c r="Q19" s="42"/>
      <c r="R19" s="42"/>
      <c r="S19" s="43"/>
    </row>
    <row r="20" spans="1:19" s="3" customFormat="1" ht="30" customHeight="1" x14ac:dyDescent="0.25">
      <c r="A20" s="196"/>
      <c r="B20" s="23" t="s">
        <v>40</v>
      </c>
      <c r="C20" s="23" t="s">
        <v>41</v>
      </c>
      <c r="D20" s="23" t="s">
        <v>42</v>
      </c>
      <c r="E20" s="23" t="s">
        <v>43</v>
      </c>
      <c r="F20" s="23" t="s">
        <v>44</v>
      </c>
      <c r="G20" s="23" t="s">
        <v>45</v>
      </c>
      <c r="H20" s="198"/>
      <c r="I20" s="200"/>
      <c r="J20" s="202"/>
      <c r="K20" s="45"/>
      <c r="L20" s="44"/>
      <c r="M20" s="44"/>
      <c r="N20" s="44"/>
      <c r="O20" s="42"/>
      <c r="P20" s="42"/>
      <c r="Q20" s="42"/>
      <c r="R20" s="42"/>
      <c r="S20" s="43"/>
    </row>
    <row r="21" spans="1:19" s="3" customFormat="1" ht="30" customHeight="1" x14ac:dyDescent="0.25">
      <c r="A21" s="196"/>
      <c r="B21" s="49"/>
      <c r="C21" s="49"/>
      <c r="D21" s="49"/>
      <c r="E21" s="49"/>
      <c r="F21" s="49"/>
      <c r="G21" s="49"/>
      <c r="H21" s="198"/>
      <c r="I21" s="200"/>
      <c r="J21" s="202"/>
      <c r="K21" s="45"/>
      <c r="L21" s="44"/>
      <c r="M21" s="44"/>
      <c r="N21" s="44"/>
      <c r="O21" s="42"/>
      <c r="P21" s="42"/>
      <c r="Q21" s="42"/>
      <c r="R21" s="42"/>
      <c r="S21" s="43"/>
    </row>
    <row r="22" spans="1:19" s="3" customFormat="1" ht="30" customHeight="1" x14ac:dyDescent="0.25">
      <c r="A22" s="196"/>
      <c r="B22" s="23" t="s">
        <v>46</v>
      </c>
      <c r="C22" s="23" t="s">
        <v>47</v>
      </c>
      <c r="D22" s="23" t="s">
        <v>48</v>
      </c>
      <c r="E22" s="23" t="s">
        <v>49</v>
      </c>
      <c r="F22" s="23" t="s">
        <v>50</v>
      </c>
      <c r="G22" s="23" t="s">
        <v>51</v>
      </c>
      <c r="H22" s="198"/>
      <c r="I22" s="200"/>
      <c r="J22" s="202"/>
      <c r="K22" s="45"/>
      <c r="L22" s="44"/>
      <c r="M22" s="44"/>
      <c r="N22" s="44"/>
      <c r="O22" s="42"/>
      <c r="P22" s="42"/>
      <c r="Q22" s="42"/>
      <c r="R22" s="42"/>
      <c r="S22" s="43"/>
    </row>
    <row r="23" spans="1:19" s="3" customFormat="1" ht="30" customHeight="1" x14ac:dyDescent="0.25">
      <c r="A23" s="196"/>
      <c r="B23" s="49"/>
      <c r="C23" s="49"/>
      <c r="D23" s="49"/>
      <c r="E23" s="49"/>
      <c r="F23" s="49"/>
      <c r="G23" s="49"/>
      <c r="H23" s="198"/>
      <c r="I23" s="200"/>
      <c r="J23" s="202"/>
      <c r="K23" s="45"/>
      <c r="L23" s="44"/>
      <c r="M23" s="44"/>
      <c r="N23" s="44"/>
      <c r="O23" s="42"/>
      <c r="P23" s="42"/>
      <c r="Q23" s="42"/>
      <c r="R23" s="42"/>
      <c r="S23" s="43"/>
    </row>
    <row r="24" spans="1:19" s="3" customFormat="1" ht="30" customHeight="1" x14ac:dyDescent="0.25">
      <c r="A24" s="196"/>
      <c r="B24" s="23" t="s">
        <v>52</v>
      </c>
      <c r="C24" s="23" t="s">
        <v>53</v>
      </c>
      <c r="D24" s="23" t="s">
        <v>54</v>
      </c>
      <c r="E24" s="23" t="s">
        <v>55</v>
      </c>
      <c r="F24" s="23" t="s">
        <v>56</v>
      </c>
      <c r="G24" s="23" t="s">
        <v>57</v>
      </c>
      <c r="H24" s="198"/>
      <c r="I24" s="200"/>
      <c r="J24" s="202"/>
      <c r="K24" s="45"/>
      <c r="L24" s="44"/>
      <c r="M24" s="44"/>
      <c r="N24" s="44"/>
      <c r="O24" s="42"/>
      <c r="P24" s="42"/>
      <c r="Q24" s="42"/>
      <c r="R24" s="42"/>
      <c r="S24" s="43"/>
    </row>
    <row r="25" spans="1:19" s="3" customFormat="1" ht="30" customHeight="1" thickBot="1" x14ac:dyDescent="0.3">
      <c r="A25" s="197"/>
      <c r="B25" s="48"/>
      <c r="C25" s="48"/>
      <c r="D25" s="48"/>
      <c r="E25" s="48"/>
      <c r="F25" s="48"/>
      <c r="G25" s="48"/>
      <c r="H25" s="199"/>
      <c r="I25" s="201"/>
      <c r="J25" s="202"/>
      <c r="K25" s="45"/>
      <c r="L25" s="44"/>
      <c r="M25" s="44"/>
      <c r="N25" s="44"/>
      <c r="O25" s="42"/>
      <c r="P25" s="42"/>
      <c r="Q25" s="42"/>
      <c r="R25" s="42"/>
      <c r="S25" s="43"/>
    </row>
    <row r="26" spans="1:19" s="3" customFormat="1" ht="30" customHeight="1" thickBot="1" x14ac:dyDescent="0.3">
      <c r="A26" s="24"/>
      <c r="B26" s="21"/>
      <c r="C26" s="21"/>
      <c r="D26" s="21"/>
      <c r="E26" s="21"/>
      <c r="F26" s="21"/>
      <c r="G26" s="21"/>
      <c r="H26" s="21"/>
      <c r="I26" s="25"/>
      <c r="J26" s="26"/>
      <c r="K26" s="92"/>
      <c r="L26" s="44"/>
      <c r="M26" s="44"/>
      <c r="N26" s="44"/>
      <c r="O26" s="42"/>
      <c r="P26" s="42"/>
      <c r="Q26" s="42"/>
      <c r="R26" s="42"/>
      <c r="S26" s="43"/>
    </row>
    <row r="27" spans="1:19" s="3" customFormat="1" ht="30" customHeight="1" x14ac:dyDescent="0.25">
      <c r="A27" s="179" t="s">
        <v>15</v>
      </c>
      <c r="B27" s="180"/>
      <c r="C27" s="180"/>
      <c r="D27" s="180"/>
      <c r="E27" s="180"/>
      <c r="F27" s="180"/>
      <c r="G27" s="181" t="s">
        <v>16</v>
      </c>
      <c r="H27" s="182"/>
      <c r="I27" s="183"/>
      <c r="J27" s="15"/>
      <c r="K27" s="45"/>
      <c r="L27" s="45"/>
      <c r="M27" s="44"/>
      <c r="N27" s="44"/>
      <c r="O27" s="44"/>
      <c r="P27" s="44"/>
      <c r="Q27" s="42"/>
      <c r="R27" s="42"/>
      <c r="S27" s="43"/>
    </row>
    <row r="28" spans="1:19" s="3" customFormat="1" ht="48.75" customHeight="1" x14ac:dyDescent="0.25">
      <c r="A28" s="203" t="s">
        <v>83</v>
      </c>
      <c r="B28" s="204"/>
      <c r="C28" s="204"/>
      <c r="D28" s="204"/>
      <c r="E28" s="204"/>
      <c r="F28" s="204"/>
      <c r="G28" s="205" t="s">
        <v>100</v>
      </c>
      <c r="H28" s="206"/>
      <c r="I28" s="207"/>
      <c r="J28" s="27"/>
      <c r="K28" s="45"/>
      <c r="L28" s="45"/>
      <c r="M28" s="44"/>
      <c r="N28" s="44"/>
      <c r="O28" s="44"/>
      <c r="P28" s="44"/>
      <c r="Q28" s="42"/>
      <c r="R28" s="42"/>
      <c r="S28" s="43"/>
    </row>
    <row r="29" spans="1:19" s="3" customFormat="1" ht="44.25" customHeight="1" x14ac:dyDescent="0.25">
      <c r="A29" s="203" t="s">
        <v>91</v>
      </c>
      <c r="B29" s="208"/>
      <c r="C29" s="208"/>
      <c r="D29" s="208"/>
      <c r="E29" s="208"/>
      <c r="F29" s="208"/>
      <c r="G29" s="209">
        <v>1.48</v>
      </c>
      <c r="H29" s="210"/>
      <c r="I29" s="211"/>
      <c r="J29" s="27"/>
      <c r="K29" s="22"/>
      <c r="L29" s="22"/>
      <c r="M29" s="20"/>
      <c r="N29" s="20"/>
      <c r="O29" s="20"/>
      <c r="P29" s="20"/>
      <c r="Q29" s="16"/>
      <c r="R29" s="16"/>
      <c r="S29" s="17"/>
    </row>
    <row r="30" spans="1:19" s="3" customFormat="1" ht="45" customHeight="1" x14ac:dyDescent="0.25">
      <c r="A30" s="203" t="s">
        <v>92</v>
      </c>
      <c r="B30" s="208"/>
      <c r="C30" s="208"/>
      <c r="D30" s="208"/>
      <c r="E30" s="208"/>
      <c r="F30" s="208"/>
      <c r="G30" s="212">
        <v>5179</v>
      </c>
      <c r="H30" s="213"/>
      <c r="I30" s="214"/>
      <c r="J30" s="28"/>
      <c r="K30" s="22"/>
      <c r="L30" s="22"/>
      <c r="M30" s="20"/>
      <c r="N30" s="20"/>
      <c r="O30" s="20"/>
      <c r="P30" s="20"/>
      <c r="Q30" s="16"/>
      <c r="R30" s="16"/>
      <c r="S30" s="17"/>
    </row>
    <row r="31" spans="1:19" s="3" customFormat="1" ht="48.75" customHeight="1" x14ac:dyDescent="0.25">
      <c r="A31" s="203" t="s">
        <v>93</v>
      </c>
      <c r="B31" s="208"/>
      <c r="C31" s="208"/>
      <c r="D31" s="208"/>
      <c r="E31" s="208"/>
      <c r="F31" s="208"/>
      <c r="G31" s="215" t="e">
        <f>J16</f>
        <v>#DIV/0!</v>
      </c>
      <c r="H31" s="216"/>
      <c r="I31" s="200"/>
      <c r="J31" s="28"/>
      <c r="K31" s="22"/>
      <c r="L31" s="22"/>
      <c r="M31" s="20"/>
      <c r="N31" s="2"/>
      <c r="O31" s="2"/>
      <c r="P31" s="2"/>
      <c r="Q31" s="16"/>
      <c r="R31" s="16"/>
      <c r="S31" s="17"/>
    </row>
    <row r="32" spans="1:19" s="3" customFormat="1" ht="48" customHeight="1" thickBot="1" x14ac:dyDescent="0.3">
      <c r="A32" s="217" t="s">
        <v>94</v>
      </c>
      <c r="B32" s="218"/>
      <c r="C32" s="218"/>
      <c r="D32" s="218"/>
      <c r="E32" s="218"/>
      <c r="F32" s="218"/>
      <c r="G32" s="219" t="e">
        <f>I19</f>
        <v>#DIV/0!</v>
      </c>
      <c r="H32" s="220"/>
      <c r="I32" s="201"/>
      <c r="J32" s="27"/>
      <c r="K32" s="22"/>
      <c r="L32" s="22"/>
      <c r="M32" s="20"/>
      <c r="N32" s="2"/>
      <c r="O32" s="2"/>
      <c r="P32" s="2"/>
      <c r="Q32" s="16"/>
      <c r="R32" s="16"/>
      <c r="S32" s="17"/>
    </row>
    <row r="33" spans="1:19" s="3" customFormat="1" ht="30" customHeight="1" thickBot="1" x14ac:dyDescent="0.3">
      <c r="A33" s="19"/>
      <c r="B33" s="16"/>
      <c r="C33" s="16"/>
      <c r="D33" s="16"/>
      <c r="E33" s="16"/>
      <c r="F33" s="20"/>
      <c r="G33" s="16"/>
      <c r="H33" s="16"/>
      <c r="I33" s="16"/>
      <c r="J33" s="21"/>
      <c r="K33" s="16"/>
      <c r="L33" s="16"/>
      <c r="M33" s="16"/>
      <c r="N33" s="29"/>
      <c r="O33" s="29"/>
      <c r="P33" s="21"/>
      <c r="Q33" s="16"/>
      <c r="R33" s="16"/>
      <c r="S33" s="17"/>
    </row>
    <row r="34" spans="1:19" s="3" customFormat="1" ht="51.75" customHeight="1" thickBot="1" x14ac:dyDescent="0.3">
      <c r="A34" s="194" t="s">
        <v>65</v>
      </c>
      <c r="B34" s="221" t="s">
        <v>64</v>
      </c>
      <c r="C34" s="221"/>
      <c r="D34" s="222" t="s">
        <v>84</v>
      </c>
      <c r="E34" s="223"/>
      <c r="F34" s="224" t="s">
        <v>85</v>
      </c>
      <c r="G34" s="225"/>
      <c r="H34" s="226" t="s">
        <v>86</v>
      </c>
      <c r="I34" s="227"/>
      <c r="J34" s="228"/>
      <c r="K34" s="116" t="s">
        <v>85</v>
      </c>
      <c r="L34" s="117" t="s">
        <v>96</v>
      </c>
      <c r="M34" s="16"/>
      <c r="N34" s="194" t="s">
        <v>3</v>
      </c>
      <c r="O34" s="180"/>
      <c r="P34" s="229" t="s">
        <v>69</v>
      </c>
      <c r="Q34" s="230"/>
      <c r="R34" s="74"/>
      <c r="S34" s="75"/>
    </row>
    <row r="35" spans="1:19" s="3" customFormat="1" ht="30" customHeight="1" thickBot="1" x14ac:dyDescent="0.3">
      <c r="A35" s="197"/>
      <c r="B35" s="231">
        <v>1</v>
      </c>
      <c r="C35" s="231"/>
      <c r="D35" s="232">
        <v>100</v>
      </c>
      <c r="E35" s="232"/>
      <c r="F35" s="233">
        <v>1</v>
      </c>
      <c r="G35" s="233"/>
      <c r="H35" s="234">
        <v>500</v>
      </c>
      <c r="I35" s="235"/>
      <c r="J35" s="236"/>
      <c r="K35" s="137">
        <v>1</v>
      </c>
      <c r="L35" s="121">
        <v>1</v>
      </c>
      <c r="M35" s="16"/>
      <c r="N35" s="237">
        <v>5</v>
      </c>
      <c r="O35" s="238"/>
      <c r="P35" s="238">
        <v>0</v>
      </c>
      <c r="Q35" s="239"/>
      <c r="R35" s="16"/>
      <c r="S35" s="120"/>
    </row>
    <row r="36" spans="1:19" s="3" customFormat="1" ht="30" customHeight="1" x14ac:dyDescent="0.25">
      <c r="A36" s="99"/>
      <c r="B36" s="100"/>
      <c r="C36" s="100"/>
      <c r="D36" s="100"/>
      <c r="E36" s="100"/>
      <c r="F36" s="59"/>
      <c r="G36" s="59"/>
      <c r="H36" s="59"/>
      <c r="I36" s="100"/>
      <c r="J36" s="100"/>
      <c r="K36" s="100"/>
      <c r="L36" s="100"/>
      <c r="M36" s="101"/>
      <c r="N36" s="78"/>
      <c r="O36" s="78"/>
      <c r="P36" s="78"/>
      <c r="Q36" s="78"/>
      <c r="R36" s="16"/>
      <c r="S36" s="102"/>
    </row>
    <row r="37" spans="1:19" s="3" customFormat="1" ht="30" customHeight="1" thickBot="1" x14ac:dyDescent="0.3">
      <c r="A37" s="107"/>
      <c r="B37" s="108"/>
      <c r="C37" s="108"/>
      <c r="D37" s="109"/>
      <c r="E37" s="109"/>
      <c r="F37" s="110"/>
      <c r="G37" s="110"/>
      <c r="H37" s="110"/>
      <c r="I37" s="109"/>
      <c r="J37" s="109"/>
      <c r="K37" s="109"/>
      <c r="L37" s="109"/>
      <c r="M37" s="111"/>
      <c r="N37" s="111"/>
      <c r="O37" s="112"/>
      <c r="P37" s="112"/>
      <c r="Q37" s="243" t="s">
        <v>74</v>
      </c>
      <c r="R37" s="243"/>
      <c r="S37" s="244"/>
    </row>
    <row r="38" spans="1:19" ht="15" customHeight="1" thickBot="1" x14ac:dyDescent="0.3">
      <c r="A38" s="30"/>
      <c r="B38" s="31"/>
      <c r="C38" s="31"/>
      <c r="D38" s="31"/>
      <c r="E38" s="31"/>
      <c r="F38" s="32"/>
      <c r="G38" s="32"/>
      <c r="H38" s="32"/>
      <c r="I38" s="33"/>
      <c r="J38" s="34"/>
      <c r="K38" s="31"/>
      <c r="L38" s="31"/>
      <c r="M38" s="31"/>
      <c r="N38" s="33"/>
      <c r="O38" s="33"/>
      <c r="P38" s="34"/>
      <c r="Q38" s="31"/>
      <c r="R38" s="31"/>
      <c r="S38" s="35"/>
    </row>
    <row r="39" spans="1:19" ht="30" customHeight="1" x14ac:dyDescent="0.25">
      <c r="A39" s="245" t="s">
        <v>76</v>
      </c>
      <c r="B39" s="246"/>
      <c r="C39" s="246"/>
      <c r="D39" s="246"/>
      <c r="E39" s="246"/>
      <c r="F39" s="246"/>
      <c r="G39" s="247"/>
      <c r="H39" s="122"/>
      <c r="I39" s="33"/>
      <c r="J39" s="248" t="s">
        <v>78</v>
      </c>
      <c r="K39" s="248"/>
      <c r="L39" s="31"/>
      <c r="M39" s="248" t="s">
        <v>79</v>
      </c>
      <c r="N39" s="248"/>
      <c r="O39" s="33"/>
      <c r="P39" s="248" t="s">
        <v>80</v>
      </c>
      <c r="Q39" s="248"/>
      <c r="R39" s="31"/>
      <c r="S39" s="35"/>
    </row>
    <row r="40" spans="1:19" ht="30" customHeight="1" x14ac:dyDescent="0.25">
      <c r="A40" s="87" t="s">
        <v>17</v>
      </c>
      <c r="B40" s="118" t="s">
        <v>22</v>
      </c>
      <c r="C40" s="118" t="s">
        <v>23</v>
      </c>
      <c r="D40" s="118" t="s">
        <v>24</v>
      </c>
      <c r="E40" s="118" t="s">
        <v>25</v>
      </c>
      <c r="F40" s="118" t="s">
        <v>26</v>
      </c>
      <c r="G40" s="119" t="s">
        <v>27</v>
      </c>
      <c r="H40" s="123"/>
      <c r="I40" s="75"/>
      <c r="J40" s="249" t="s">
        <v>102</v>
      </c>
      <c r="K40" s="250"/>
      <c r="L40" s="75"/>
      <c r="M40" s="251" t="s">
        <v>104</v>
      </c>
      <c r="N40" s="251"/>
      <c r="O40" s="33"/>
      <c r="P40" s="251" t="s">
        <v>105</v>
      </c>
      <c r="Q40" s="251"/>
      <c r="R40" s="31"/>
      <c r="S40" s="35"/>
    </row>
    <row r="41" spans="1:19" ht="30" customHeight="1" x14ac:dyDescent="0.25">
      <c r="A41" s="41">
        <v>1</v>
      </c>
      <c r="B41" s="49">
        <v>10526</v>
      </c>
      <c r="C41" s="49">
        <v>9856</v>
      </c>
      <c r="D41" s="49">
        <v>12356</v>
      </c>
      <c r="E41" s="49">
        <v>11528</v>
      </c>
      <c r="F41" s="49">
        <v>13526</v>
      </c>
      <c r="G41" s="49">
        <v>14526</v>
      </c>
      <c r="H41" s="124"/>
      <c r="I41" s="76"/>
      <c r="J41" s="77"/>
      <c r="K41" s="78"/>
      <c r="L41" s="78"/>
      <c r="M41" s="78"/>
      <c r="N41" s="77"/>
      <c r="O41" s="33"/>
      <c r="P41" s="33"/>
      <c r="Q41" s="31"/>
      <c r="R41" s="31"/>
      <c r="S41" s="35"/>
    </row>
    <row r="42" spans="1:19" ht="30" customHeight="1" x14ac:dyDescent="0.25">
      <c r="A42" s="41">
        <v>4</v>
      </c>
      <c r="B42" s="49">
        <v>66526</v>
      </c>
      <c r="C42" s="49">
        <v>65256</v>
      </c>
      <c r="D42" s="49">
        <v>71256</v>
      </c>
      <c r="E42" s="49">
        <v>77526</v>
      </c>
      <c r="F42" s="49">
        <v>76526</v>
      </c>
      <c r="G42" s="49">
        <v>66526</v>
      </c>
      <c r="H42" s="124"/>
      <c r="I42" s="77"/>
      <c r="J42" s="76"/>
      <c r="K42" s="77"/>
      <c r="L42" s="78"/>
      <c r="M42" s="78"/>
      <c r="N42" s="77"/>
      <c r="O42" s="33"/>
      <c r="P42" s="33"/>
      <c r="Q42" s="31"/>
      <c r="R42" s="31"/>
      <c r="S42" s="35"/>
    </row>
    <row r="43" spans="1:19" ht="30" customHeight="1" x14ac:dyDescent="0.25">
      <c r="A43" s="41">
        <v>8</v>
      </c>
      <c r="B43" s="49">
        <v>128526</v>
      </c>
      <c r="C43" s="49">
        <v>140253</v>
      </c>
      <c r="D43" s="49">
        <v>135265</v>
      </c>
      <c r="E43" s="49">
        <v>130562</v>
      </c>
      <c r="F43" s="49">
        <v>134256</v>
      </c>
      <c r="G43" s="49">
        <v>135261</v>
      </c>
      <c r="H43" s="124"/>
      <c r="I43" s="76"/>
      <c r="J43" s="77"/>
      <c r="K43" s="78"/>
      <c r="L43" s="76"/>
      <c r="M43" s="77"/>
      <c r="N43" s="77"/>
      <c r="O43" s="33"/>
      <c r="P43" s="33"/>
      <c r="Q43" s="31"/>
      <c r="R43" s="31"/>
      <c r="S43" s="35"/>
    </row>
    <row r="44" spans="1:19" ht="30" customHeight="1" x14ac:dyDescent="0.25">
      <c r="A44" s="41"/>
      <c r="B44" s="49"/>
      <c r="C44" s="49"/>
      <c r="D44" s="49"/>
      <c r="E44" s="49"/>
      <c r="F44" s="49"/>
      <c r="G44" s="125"/>
      <c r="H44" s="124"/>
      <c r="I44" s="76"/>
      <c r="J44" s="77"/>
      <c r="K44" s="77"/>
      <c r="L44" s="77"/>
      <c r="M44" s="77"/>
      <c r="N44" s="77"/>
      <c r="O44" s="33"/>
      <c r="P44" s="33"/>
      <c r="Q44" s="31"/>
      <c r="R44" s="31"/>
      <c r="S44" s="35"/>
    </row>
    <row r="45" spans="1:19" ht="30" customHeight="1" x14ac:dyDescent="0.25">
      <c r="A45" s="41"/>
      <c r="B45" s="49"/>
      <c r="C45" s="49"/>
      <c r="D45" s="49"/>
      <c r="E45" s="49"/>
      <c r="F45" s="49"/>
      <c r="G45" s="125"/>
      <c r="H45" s="124"/>
      <c r="I45" s="76"/>
      <c r="J45" s="77"/>
      <c r="K45" s="77"/>
      <c r="L45" s="77"/>
      <c r="M45" s="77"/>
      <c r="N45" s="77"/>
      <c r="O45" s="33"/>
      <c r="P45" s="33"/>
      <c r="Q45" s="31"/>
      <c r="R45" s="31"/>
      <c r="S45" s="35"/>
    </row>
    <row r="46" spans="1:19" ht="30" customHeight="1" x14ac:dyDescent="0.25">
      <c r="A46" s="41"/>
      <c r="B46" s="49"/>
      <c r="C46" s="49"/>
      <c r="D46" s="49"/>
      <c r="E46" s="49"/>
      <c r="F46" s="49"/>
      <c r="G46" s="125"/>
      <c r="H46" s="124"/>
      <c r="I46" s="76"/>
      <c r="J46" s="77"/>
      <c r="K46" s="77"/>
      <c r="L46" s="77"/>
      <c r="M46" s="77"/>
      <c r="N46" s="77"/>
      <c r="O46" s="33"/>
      <c r="P46" s="33"/>
      <c r="Q46" s="31"/>
      <c r="R46" s="31"/>
      <c r="S46" s="35"/>
    </row>
    <row r="47" spans="1:19" ht="30" customHeight="1" x14ac:dyDescent="0.25">
      <c r="A47" s="41"/>
      <c r="B47" s="49"/>
      <c r="C47" s="49"/>
      <c r="D47" s="49"/>
      <c r="E47" s="49"/>
      <c r="F47" s="49"/>
      <c r="G47" s="125"/>
      <c r="H47" s="124"/>
      <c r="I47" s="76"/>
      <c r="J47" s="77"/>
      <c r="K47" s="77"/>
      <c r="L47" s="77"/>
      <c r="M47" s="77"/>
      <c r="N47" s="77"/>
      <c r="O47" s="33"/>
      <c r="P47" s="33"/>
      <c r="Q47" s="31"/>
      <c r="R47" s="31"/>
      <c r="S47" s="35"/>
    </row>
    <row r="48" spans="1:19" s="4" customFormat="1" ht="30" customHeight="1" x14ac:dyDescent="0.25">
      <c r="A48" s="41"/>
      <c r="B48" s="49"/>
      <c r="C48" s="49"/>
      <c r="D48" s="49"/>
      <c r="E48" s="49"/>
      <c r="F48" s="49"/>
      <c r="G48" s="125"/>
      <c r="H48" s="124"/>
      <c r="I48" s="76"/>
      <c r="J48" s="78"/>
      <c r="K48" s="78"/>
      <c r="L48" s="78"/>
      <c r="M48" s="78"/>
      <c r="N48" s="77"/>
      <c r="O48" s="33"/>
      <c r="P48" s="33"/>
      <c r="Q48" s="18"/>
      <c r="R48" s="31"/>
      <c r="S48" s="35"/>
    </row>
    <row r="49" spans="1:20" s="4" customFormat="1" ht="30" customHeight="1" x14ac:dyDescent="0.25">
      <c r="A49" s="41"/>
      <c r="B49" s="49"/>
      <c r="C49" s="49"/>
      <c r="D49" s="49"/>
      <c r="E49" s="49"/>
      <c r="F49" s="49"/>
      <c r="G49" s="125"/>
      <c r="H49" s="124"/>
      <c r="I49" s="76"/>
      <c r="J49" s="78"/>
      <c r="K49" s="78"/>
      <c r="L49" s="78"/>
      <c r="M49" s="78"/>
      <c r="N49" s="77"/>
      <c r="O49" s="33"/>
      <c r="P49" s="33"/>
      <c r="Q49" s="31"/>
      <c r="R49" s="31"/>
      <c r="S49" s="35"/>
    </row>
    <row r="50" spans="1:20" s="4" customFormat="1" ht="26.25" customHeight="1" x14ac:dyDescent="0.25">
      <c r="A50" s="41"/>
      <c r="B50" s="49"/>
      <c r="C50" s="49"/>
      <c r="D50" s="49"/>
      <c r="E50" s="49"/>
      <c r="F50" s="49"/>
      <c r="G50" s="125"/>
      <c r="H50" s="124"/>
      <c r="I50" s="82"/>
      <c r="J50" s="83"/>
      <c r="K50" s="83"/>
      <c r="L50" s="83"/>
      <c r="M50" s="83"/>
      <c r="N50" s="81"/>
      <c r="O50" s="33"/>
      <c r="P50" s="33"/>
      <c r="Q50" s="31"/>
      <c r="R50" s="31"/>
      <c r="S50" s="35"/>
    </row>
    <row r="51" spans="1:20" s="4" customFormat="1" ht="41.25" customHeight="1" x14ac:dyDescent="0.25">
      <c r="A51" s="41"/>
      <c r="B51" s="49"/>
      <c r="C51" s="49"/>
      <c r="D51" s="49"/>
      <c r="E51" s="49"/>
      <c r="F51" s="49"/>
      <c r="G51" s="49"/>
      <c r="H51" s="124"/>
      <c r="I51" s="82"/>
      <c r="J51" s="83"/>
      <c r="K51" s="83"/>
      <c r="L51" s="83"/>
      <c r="M51" s="83"/>
      <c r="N51" s="81"/>
      <c r="O51" s="33"/>
      <c r="P51" s="33"/>
      <c r="Q51" s="31"/>
      <c r="R51" s="31"/>
      <c r="S51" s="35"/>
    </row>
    <row r="52" spans="1:20" s="4" customFormat="1" ht="28.5" customHeight="1" x14ac:dyDescent="0.25">
      <c r="A52" s="41"/>
      <c r="B52" s="49"/>
      <c r="C52" s="49"/>
      <c r="D52" s="49"/>
      <c r="E52" s="49"/>
      <c r="F52" s="49"/>
      <c r="G52" s="125"/>
      <c r="H52" s="124"/>
      <c r="I52" s="82"/>
      <c r="J52" s="83"/>
      <c r="K52" s="83"/>
      <c r="L52" s="83"/>
      <c r="M52" s="83"/>
      <c r="N52" s="81"/>
      <c r="O52" s="33"/>
      <c r="P52" s="33"/>
      <c r="Q52" s="31"/>
      <c r="R52" s="31"/>
      <c r="S52" s="35"/>
    </row>
    <row r="53" spans="1:20" s="4" customFormat="1" ht="35.25" customHeight="1" thickBot="1" x14ac:dyDescent="0.3">
      <c r="A53" s="79"/>
      <c r="B53" s="48"/>
      <c r="C53" s="48"/>
      <c r="D53" s="48"/>
      <c r="E53" s="48"/>
      <c r="F53" s="48"/>
      <c r="G53" s="126"/>
      <c r="H53" s="124"/>
      <c r="I53" s="82"/>
      <c r="J53" s="83"/>
      <c r="K53" s="83"/>
      <c r="L53" s="83"/>
      <c r="M53" s="83"/>
      <c r="N53" s="81"/>
      <c r="O53" s="33"/>
      <c r="P53" s="33"/>
      <c r="Q53" s="31"/>
      <c r="R53" s="31"/>
      <c r="S53" s="35"/>
    </row>
    <row r="54" spans="1:20" s="4" customFormat="1" ht="15" customHeight="1" x14ac:dyDescent="0.25">
      <c r="A54" s="80"/>
      <c r="B54" s="81"/>
      <c r="C54" s="81"/>
      <c r="D54" s="81"/>
      <c r="E54" s="81"/>
      <c r="F54" s="81"/>
      <c r="G54" s="81"/>
      <c r="H54" s="81"/>
      <c r="I54" s="82"/>
      <c r="J54" s="83"/>
      <c r="K54" s="83"/>
      <c r="L54" s="83"/>
      <c r="M54" s="83"/>
      <c r="N54" s="81"/>
      <c r="O54" s="33"/>
      <c r="P54" s="33"/>
      <c r="Q54" s="31"/>
      <c r="R54" s="31"/>
      <c r="S54" s="35"/>
    </row>
    <row r="55" spans="1:20" s="4" customFormat="1" ht="15" customHeight="1" thickBot="1" x14ac:dyDescent="0.3">
      <c r="A55" s="80"/>
      <c r="B55" s="81"/>
      <c r="C55" s="81"/>
      <c r="D55" s="81"/>
      <c r="E55" s="81"/>
      <c r="F55" s="81"/>
      <c r="G55" s="81"/>
      <c r="H55" s="81"/>
      <c r="I55" s="82"/>
      <c r="J55" s="83"/>
      <c r="K55" s="83"/>
      <c r="L55" s="83"/>
      <c r="M55" s="83"/>
      <c r="N55" s="81"/>
      <c r="O55" s="33"/>
      <c r="P55" s="33"/>
      <c r="Q55" s="31"/>
      <c r="R55" s="31"/>
      <c r="S55" s="35"/>
    </row>
    <row r="56" spans="1:20" ht="30" customHeight="1" x14ac:dyDescent="0.25">
      <c r="A56" s="240" t="s">
        <v>90</v>
      </c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2"/>
      <c r="M56" s="84"/>
      <c r="N56" s="84"/>
      <c r="O56" s="84"/>
      <c r="P56" s="84"/>
      <c r="Q56" s="84"/>
      <c r="R56" s="84"/>
      <c r="S56" s="88"/>
    </row>
    <row r="57" spans="1:20" ht="30" customHeight="1" x14ac:dyDescent="0.25">
      <c r="A57" s="87" t="str">
        <f>A40</f>
        <v>Time Interval (Hours)</v>
      </c>
      <c r="B57" s="128" t="str">
        <f>B40</f>
        <v>Unit-01</v>
      </c>
      <c r="C57" s="128" t="str">
        <f t="shared" ref="C57:G57" si="0">C40</f>
        <v>Unit-02</v>
      </c>
      <c r="D57" s="128" t="str">
        <f t="shared" si="0"/>
        <v>Unit-03</v>
      </c>
      <c r="E57" s="128" t="str">
        <f t="shared" si="0"/>
        <v>Unit-04</v>
      </c>
      <c r="F57" s="128" t="str">
        <f t="shared" si="0"/>
        <v>Unit-05</v>
      </c>
      <c r="G57" s="128" t="str">
        <f t="shared" si="0"/>
        <v>Unit-06</v>
      </c>
      <c r="H57" s="134" t="s">
        <v>33</v>
      </c>
      <c r="I57" s="134" t="s">
        <v>12</v>
      </c>
      <c r="J57" s="134" t="s">
        <v>18</v>
      </c>
      <c r="K57" s="129" t="s">
        <v>19</v>
      </c>
      <c r="L57" s="130" t="s">
        <v>20</v>
      </c>
      <c r="M57" s="122"/>
      <c r="N57" s="85"/>
      <c r="O57" s="4"/>
      <c r="P57" s="4"/>
      <c r="Q57" s="4"/>
      <c r="R57" s="4"/>
      <c r="S57" s="89"/>
      <c r="T57" s="4"/>
    </row>
    <row r="58" spans="1:20" ht="30" customHeight="1" x14ac:dyDescent="0.25">
      <c r="A58" s="41">
        <v>1</v>
      </c>
      <c r="B58" s="51">
        <f>B41/$I$16*$C$13/$E$13*$G$13/$J$13*$L$13/$N$13*$D$35/1*$H$35/$F$35*$Q$13/100*1/$B$4*100</f>
        <v>8.3702752000000018</v>
      </c>
      <c r="C58" s="51">
        <f t="shared" ref="C58" si="1">C41/$I$16*$C$13/$E$13*$G$13/$J$13*$L$13/$N$13*$D$35/1*$H$35/$F$35*$Q$13/100*1/$B$4*100</f>
        <v>7.8374912000000023</v>
      </c>
      <c r="D58" s="51">
        <f>D41/$I$16*$C$13/$E$13*$G$13/$J$13*$L$13/$N$13*$D$35/1*$H$35/$F$35*$Q$13/100*1/$B$4*100</f>
        <v>9.8254912000000019</v>
      </c>
      <c r="E58" s="51">
        <f>E41/$I$16*$C$13/$E$13*$G$13/$J$13*$L$13/$N$13*$D$35/1*$H$35/$F$35*$Q$13/100*1/$B$4*100</f>
        <v>9.167065599999999</v>
      </c>
      <c r="F58" s="51">
        <f t="shared" ref="F58:G58" si="2">F41/$I$16*$C$13/$E$13*$G$13/$J$13*$L$13/$N$13*$D$35/1*$H$35/$F$35*$Q$13/100*1/$B$4*100</f>
        <v>10.755875199999998</v>
      </c>
      <c r="G58" s="51">
        <f t="shared" si="2"/>
        <v>11.551075200000003</v>
      </c>
      <c r="H58" s="94">
        <f>AVERAGE(B58:G58)</f>
        <v>9.5845456000000002</v>
      </c>
      <c r="I58" s="51">
        <f>STDEV(B58:G58)</f>
        <v>1.4140896515389199</v>
      </c>
      <c r="J58" s="50">
        <f>I58/H58*100</f>
        <v>14.753851779253049</v>
      </c>
      <c r="K58" s="94">
        <f>MIN(B58:E58)</f>
        <v>7.8374912000000023</v>
      </c>
      <c r="L58" s="95">
        <f>MAX(B58:G58)</f>
        <v>11.551075200000003</v>
      </c>
      <c r="M58" s="127"/>
      <c r="N58" s="86"/>
      <c r="O58" s="103"/>
      <c r="P58" s="4"/>
      <c r="Q58" s="4"/>
      <c r="R58" s="4"/>
      <c r="S58" s="89"/>
      <c r="T58" s="4"/>
    </row>
    <row r="59" spans="1:20" ht="30" customHeight="1" x14ac:dyDescent="0.25">
      <c r="A59" s="41">
        <v>4</v>
      </c>
      <c r="B59" s="51">
        <f>B42/$I$16*$C$13/$E$13*$G$13/$J$13*$L$13/$N$13*$D$35/1*495/$F$35*$Q$13/100*1/$B$4*100+(B58/495*5)</f>
        <v>52.457008682343428</v>
      </c>
      <c r="C59" s="51">
        <f t="shared" ref="C59:G59" si="3">C42/$I$16*$C$13/$E$13*$G$13/$J$13*$L$13/$N$13*$D$35/1*495/$F$35*$Q$13/100*1/$B$4*100+(C58/495*5)</f>
        <v>51.451822065777776</v>
      </c>
      <c r="D59" s="51">
        <f t="shared" si="3"/>
        <v>56.195390873858578</v>
      </c>
      <c r="E59" s="51">
        <f t="shared" si="3"/>
        <v>61.124785070222224</v>
      </c>
      <c r="F59" s="51">
        <f t="shared" si="3"/>
        <v>60.353585652040394</v>
      </c>
      <c r="G59" s="51">
        <f t="shared" si="3"/>
        <v>52.489137975272719</v>
      </c>
      <c r="H59" s="94">
        <f t="shared" ref="H59:H60" si="4">AVERAGE(B59:G59)</f>
        <v>55.678621719919192</v>
      </c>
      <c r="I59" s="51">
        <f t="shared" ref="I59:I60" si="5">STDEV(B59:G59)</f>
        <v>4.2473630831557951</v>
      </c>
      <c r="J59" s="50">
        <f>I59/H59*100</f>
        <v>7.6283552860222619</v>
      </c>
      <c r="K59" s="94">
        <f t="shared" ref="K59:K60" si="6">MIN(B59:E59)</f>
        <v>51.451822065777776</v>
      </c>
      <c r="L59" s="95">
        <f>MAX(B59:G59)</f>
        <v>61.124785070222224</v>
      </c>
      <c r="M59" s="127"/>
      <c r="N59" s="86"/>
      <c r="O59" s="4"/>
      <c r="P59" s="4"/>
      <c r="Q59" s="4"/>
      <c r="R59" s="4"/>
      <c r="S59" s="89"/>
      <c r="T59" s="4"/>
    </row>
    <row r="60" spans="1:20" ht="30" customHeight="1" x14ac:dyDescent="0.25">
      <c r="A60" s="41">
        <v>8</v>
      </c>
      <c r="B60" s="51">
        <f>B43/$I$16*$C$13/$E$13*$G$13/$J$13*$L$13/$N$13*$D$35/1*490/$F$35*$Q$13/100*1/$B$4*100+(B59/490*5)+(B58/495*5)</f>
        <v>100.77962152914286</v>
      </c>
      <c r="C60" s="51">
        <f>C43/$I$16*$C$13/$E$13*$G$13/$J$13*$L$13/$N$13*$D$35/1*490/$F$35*$Q$13/100*1/$B$4*100+(C59/490*5)+(C58/495*5)</f>
        <v>109.90278705828572</v>
      </c>
      <c r="D60" s="51">
        <f>D43/$I$16*$C$13/$E$13*$G$13/$J$13*$L$13/$N$13*$D$35/1*490/$F$35*$Q$13/100*1/$B$4*100+(D59/490*5)+(D58/495*5)</f>
        <v>106.0841431817143</v>
      </c>
      <c r="E60" s="51">
        <f t="shared" ref="E60:G60" si="7">E43/$I$16*$C$13/$E$13*$G$13/$J$13*$L$13/$N$13*$D$35/1*490/$F$35*$Q$13/100*1/$B$4*100+(E59/490*5)+(E58/495*5)</f>
        <v>102.46276327085717</v>
      </c>
      <c r="F60" s="51">
        <f t="shared" si="7"/>
        <v>105.34966189485714</v>
      </c>
      <c r="G60" s="51">
        <f t="shared" si="7"/>
        <v>106.060637232</v>
      </c>
      <c r="H60" s="94">
        <f t="shared" si="4"/>
        <v>105.10660236114286</v>
      </c>
      <c r="I60" s="51">
        <f t="shared" si="5"/>
        <v>3.1824796128977728</v>
      </c>
      <c r="J60" s="50">
        <f>I60/H60*100</f>
        <v>3.0278588988757114</v>
      </c>
      <c r="K60" s="94">
        <f t="shared" si="6"/>
        <v>100.77962152914286</v>
      </c>
      <c r="L60" s="95">
        <f>MAX(B60:G60)</f>
        <v>109.90278705828572</v>
      </c>
      <c r="M60" s="127"/>
      <c r="N60" s="86"/>
      <c r="O60" s="4"/>
      <c r="P60" s="4"/>
      <c r="Q60" s="4"/>
      <c r="R60" s="4"/>
      <c r="S60" s="89"/>
      <c r="T60" s="4"/>
    </row>
    <row r="61" spans="1:20" ht="30" customHeight="1" x14ac:dyDescent="0.25">
      <c r="A61" s="41"/>
      <c r="B61" s="51"/>
      <c r="C61" s="51"/>
      <c r="D61" s="51"/>
      <c r="E61" s="51"/>
      <c r="F61" s="51"/>
      <c r="G61" s="51"/>
      <c r="H61" s="94"/>
      <c r="I61" s="51"/>
      <c r="J61" s="50"/>
      <c r="K61" s="94"/>
      <c r="L61" s="95"/>
      <c r="M61" s="127"/>
      <c r="N61" s="86"/>
      <c r="O61" s="4"/>
      <c r="P61" s="4"/>
      <c r="Q61" s="4"/>
      <c r="R61" s="4"/>
      <c r="S61" s="89"/>
      <c r="T61" s="4"/>
    </row>
    <row r="62" spans="1:20" ht="30" customHeight="1" x14ac:dyDescent="0.25">
      <c r="A62" s="41"/>
      <c r="B62" s="51"/>
      <c r="C62" s="51"/>
      <c r="D62" s="51"/>
      <c r="E62" s="51"/>
      <c r="F62" s="51"/>
      <c r="G62" s="51"/>
      <c r="H62" s="94"/>
      <c r="I62" s="51"/>
      <c r="J62" s="50"/>
      <c r="K62" s="94"/>
      <c r="L62" s="95"/>
      <c r="M62" s="127"/>
      <c r="N62" s="86"/>
      <c r="O62" s="4"/>
      <c r="P62" s="4"/>
      <c r="Q62" s="4"/>
      <c r="R62" s="4"/>
      <c r="S62" s="89"/>
      <c r="T62" s="4"/>
    </row>
    <row r="63" spans="1:20" ht="30" customHeight="1" x14ac:dyDescent="0.25">
      <c r="A63" s="41"/>
      <c r="B63" s="51"/>
      <c r="C63" s="51"/>
      <c r="D63" s="51"/>
      <c r="E63" s="51"/>
      <c r="F63" s="51"/>
      <c r="G63" s="51"/>
      <c r="H63" s="94"/>
      <c r="I63" s="51"/>
      <c r="J63" s="50"/>
      <c r="K63" s="94"/>
      <c r="L63" s="95"/>
      <c r="M63" s="127"/>
      <c r="N63" s="86"/>
      <c r="O63" s="4"/>
      <c r="P63" s="4"/>
      <c r="Q63" s="4"/>
      <c r="R63" s="4"/>
      <c r="S63" s="89"/>
      <c r="T63" s="4"/>
    </row>
    <row r="64" spans="1:20" ht="30" customHeight="1" x14ac:dyDescent="0.25">
      <c r="A64" s="41"/>
      <c r="B64" s="51"/>
      <c r="C64" s="51"/>
      <c r="D64" s="51"/>
      <c r="E64" s="51"/>
      <c r="F64" s="51"/>
      <c r="G64" s="51"/>
      <c r="H64" s="94"/>
      <c r="I64" s="51"/>
      <c r="J64" s="50"/>
      <c r="K64" s="94"/>
      <c r="L64" s="95"/>
      <c r="M64" s="127"/>
      <c r="N64" s="86"/>
      <c r="O64" s="4"/>
      <c r="P64" s="4"/>
      <c r="Q64" s="4"/>
      <c r="R64" s="4"/>
      <c r="S64" s="89"/>
      <c r="T64" s="4"/>
    </row>
    <row r="65" spans="1:20" ht="30" customHeight="1" x14ac:dyDescent="0.25">
      <c r="A65" s="41"/>
      <c r="B65" s="51"/>
      <c r="C65" s="51"/>
      <c r="D65" s="51"/>
      <c r="E65" s="51"/>
      <c r="F65" s="51"/>
      <c r="G65" s="51"/>
      <c r="H65" s="94"/>
      <c r="I65" s="51"/>
      <c r="J65" s="50"/>
      <c r="K65" s="94"/>
      <c r="L65" s="95"/>
      <c r="M65" s="127"/>
      <c r="N65" s="86"/>
      <c r="O65" s="4"/>
      <c r="P65" s="4"/>
      <c r="Q65" s="4"/>
      <c r="R65" s="4"/>
      <c r="S65" s="89"/>
      <c r="T65" s="4"/>
    </row>
    <row r="66" spans="1:20" ht="30" customHeight="1" x14ac:dyDescent="0.25">
      <c r="A66" s="41"/>
      <c r="B66" s="51"/>
      <c r="C66" s="51"/>
      <c r="D66" s="51"/>
      <c r="E66" s="51"/>
      <c r="F66" s="51"/>
      <c r="G66" s="51"/>
      <c r="H66" s="94"/>
      <c r="I66" s="51"/>
      <c r="J66" s="50"/>
      <c r="K66" s="94"/>
      <c r="L66" s="95"/>
      <c r="M66" s="127"/>
      <c r="N66" s="86"/>
      <c r="O66" s="4"/>
      <c r="P66" s="4"/>
      <c r="Q66" s="4"/>
      <c r="R66" s="4"/>
      <c r="S66" s="89"/>
      <c r="T66" s="4"/>
    </row>
    <row r="67" spans="1:20" ht="23.25" customHeight="1" x14ac:dyDescent="0.25">
      <c r="A67" s="41"/>
      <c r="B67" s="51"/>
      <c r="C67" s="51"/>
      <c r="D67" s="51"/>
      <c r="E67" s="51"/>
      <c r="F67" s="51"/>
      <c r="G67" s="51"/>
      <c r="H67" s="94"/>
      <c r="I67" s="51"/>
      <c r="J67" s="50"/>
      <c r="K67" s="94"/>
      <c r="L67" s="95"/>
      <c r="M67" s="127"/>
      <c r="N67" s="36"/>
      <c r="O67" s="37"/>
      <c r="P67" s="38"/>
      <c r="Q67" s="38"/>
      <c r="R67" s="39"/>
      <c r="S67" s="40"/>
      <c r="T67" s="4"/>
    </row>
    <row r="68" spans="1:20" ht="24.75" customHeight="1" x14ac:dyDescent="0.25">
      <c r="A68" s="41"/>
      <c r="B68" s="51"/>
      <c r="C68" s="51"/>
      <c r="D68" s="51"/>
      <c r="E68" s="51"/>
      <c r="F68" s="51"/>
      <c r="G68" s="51"/>
      <c r="H68" s="94"/>
      <c r="I68" s="51"/>
      <c r="J68" s="50"/>
      <c r="K68" s="94"/>
      <c r="L68" s="95"/>
      <c r="M68" s="127"/>
      <c r="N68" s="4"/>
      <c r="O68" s="4"/>
    </row>
    <row r="69" spans="1:20" ht="23.25" customHeight="1" x14ac:dyDescent="0.25">
      <c r="A69" s="41"/>
      <c r="B69" s="51"/>
      <c r="C69" s="51"/>
      <c r="D69" s="51"/>
      <c r="E69" s="51"/>
      <c r="F69" s="51"/>
      <c r="G69" s="51"/>
      <c r="H69" s="94"/>
      <c r="I69" s="51"/>
      <c r="J69" s="50"/>
      <c r="K69" s="94"/>
      <c r="L69" s="95"/>
      <c r="M69" s="127"/>
    </row>
    <row r="70" spans="1:20" ht="30" customHeight="1" thickBot="1" x14ac:dyDescent="0.3">
      <c r="A70" s="79"/>
      <c r="B70" s="53"/>
      <c r="C70" s="53"/>
      <c r="D70" s="53"/>
      <c r="E70" s="53"/>
      <c r="F70" s="53"/>
      <c r="G70" s="53"/>
      <c r="H70" s="132"/>
      <c r="I70" s="53"/>
      <c r="J70" s="52"/>
      <c r="K70" s="132"/>
      <c r="L70" s="133"/>
      <c r="M70" s="127"/>
    </row>
    <row r="71" spans="1:20" ht="1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20" ht="15" customHeight="1" x14ac:dyDescent="0.25">
      <c r="A72" s="4"/>
      <c r="B72" s="4"/>
      <c r="C72" s="6"/>
      <c r="D72" s="6"/>
      <c r="E72" s="6"/>
      <c r="F72" s="5"/>
      <c r="G72" s="5"/>
      <c r="H72" s="5"/>
      <c r="I72" s="5"/>
      <c r="J72" s="5"/>
    </row>
    <row r="73" spans="1:20" ht="15" customHeight="1" x14ac:dyDescent="0.25">
      <c r="A73" s="4"/>
      <c r="B73" s="4"/>
      <c r="C73" s="6"/>
      <c r="D73" s="6"/>
      <c r="E73" s="6"/>
      <c r="F73" s="7"/>
      <c r="G73" s="8"/>
      <c r="H73" s="8"/>
      <c r="I73" s="8"/>
      <c r="J73" s="5"/>
    </row>
    <row r="74" spans="1:20" ht="15" customHeight="1" x14ac:dyDescent="0.2">
      <c r="A74" s="4"/>
      <c r="B74" s="4"/>
      <c r="C74" s="6"/>
      <c r="D74" s="6"/>
      <c r="E74" s="6"/>
      <c r="F74" s="9"/>
      <c r="G74" s="8"/>
      <c r="H74" s="8"/>
      <c r="I74" s="8"/>
      <c r="J74" s="5"/>
    </row>
    <row r="75" spans="1:20" ht="15" customHeight="1" x14ac:dyDescent="0.2">
      <c r="A75" s="4"/>
      <c r="B75" s="4"/>
      <c r="C75" s="6"/>
      <c r="D75" s="6"/>
      <c r="E75" s="6"/>
      <c r="F75" s="10"/>
      <c r="G75" s="11"/>
      <c r="H75" s="11"/>
      <c r="I75" s="8"/>
      <c r="J75" s="5"/>
    </row>
    <row r="76" spans="1:20" ht="15" customHeight="1" x14ac:dyDescent="0.2">
      <c r="A76" s="4"/>
      <c r="B76" s="4"/>
      <c r="C76" s="6"/>
      <c r="D76" s="6"/>
      <c r="E76" s="6"/>
      <c r="F76" s="10"/>
      <c r="G76" s="11"/>
      <c r="H76" s="11"/>
      <c r="I76" s="8"/>
      <c r="J76" s="5"/>
    </row>
    <row r="77" spans="1:20" ht="15" customHeight="1" x14ac:dyDescent="0.2">
      <c r="A77" s="4"/>
      <c r="B77" s="4"/>
      <c r="C77" s="6"/>
      <c r="D77" s="6"/>
      <c r="E77" s="6"/>
      <c r="F77" s="10"/>
      <c r="G77" s="11"/>
      <c r="H77" s="11"/>
      <c r="I77" s="8"/>
      <c r="J77" s="5"/>
    </row>
    <row r="78" spans="1:20" ht="15" customHeight="1" x14ac:dyDescent="0.2">
      <c r="A78" s="4"/>
      <c r="B78" s="4"/>
      <c r="C78" s="6"/>
      <c r="D78" s="6"/>
      <c r="E78" s="6"/>
      <c r="F78" s="10"/>
      <c r="G78" s="11"/>
      <c r="H78" s="11"/>
      <c r="I78" s="8"/>
      <c r="J78" s="5"/>
    </row>
    <row r="79" spans="1:20" ht="15" customHeight="1" x14ac:dyDescent="0.2">
      <c r="A79" s="4"/>
      <c r="B79" s="4"/>
      <c r="C79" s="4"/>
      <c r="D79" s="4"/>
      <c r="E79" s="4"/>
      <c r="F79" s="12"/>
      <c r="G79" s="8"/>
      <c r="H79" s="8"/>
      <c r="I79" s="8"/>
      <c r="J79" s="4"/>
    </row>
    <row r="80" spans="1:20" ht="15" customHeight="1" x14ac:dyDescent="0.2">
      <c r="A80" s="4"/>
      <c r="B80" s="4"/>
      <c r="C80" s="4"/>
      <c r="D80" s="4"/>
      <c r="E80" s="4"/>
      <c r="F80" s="13"/>
      <c r="G80" s="14"/>
      <c r="H80" s="14"/>
      <c r="I80" s="10"/>
      <c r="J80" s="4"/>
    </row>
    <row r="81" spans="1:10" ht="15" customHeight="1" x14ac:dyDescent="0.2">
      <c r="A81" s="4"/>
      <c r="B81" s="4"/>
      <c r="C81" s="4"/>
      <c r="D81" s="4"/>
      <c r="E81" s="4"/>
      <c r="F81" s="12"/>
      <c r="G81" s="8"/>
      <c r="H81" s="8"/>
      <c r="I81" s="8"/>
      <c r="J81" s="4"/>
    </row>
    <row r="82" spans="1:10" ht="15" customHeight="1" x14ac:dyDescent="0.2">
      <c r="F82" s="12"/>
      <c r="G82" s="8"/>
      <c r="H82" s="8"/>
      <c r="I82" s="8"/>
    </row>
    <row r="83" spans="1:10" ht="15" customHeight="1" x14ac:dyDescent="0.2">
      <c r="F83" s="12"/>
      <c r="G83" s="8"/>
      <c r="H83" s="8"/>
      <c r="I83" s="8"/>
    </row>
    <row r="84" spans="1:10" ht="15" customHeight="1" x14ac:dyDescent="0.2">
      <c r="F84" s="12"/>
      <c r="G84" s="8"/>
      <c r="H84" s="8"/>
      <c r="I84" s="8"/>
    </row>
  </sheetData>
  <mergeCells count="63">
    <mergeCell ref="A56:L56"/>
    <mergeCell ref="Q37:S37"/>
    <mergeCell ref="A39:G39"/>
    <mergeCell ref="J39:K39"/>
    <mergeCell ref="M39:N39"/>
    <mergeCell ref="P39:Q39"/>
    <mergeCell ref="J40:K40"/>
    <mergeCell ref="M40:N40"/>
    <mergeCell ref="P40:Q40"/>
    <mergeCell ref="N34:O34"/>
    <mergeCell ref="P34:Q34"/>
    <mergeCell ref="B35:C35"/>
    <mergeCell ref="D35:E35"/>
    <mergeCell ref="F35:G35"/>
    <mergeCell ref="H35:J35"/>
    <mergeCell ref="N35:O35"/>
    <mergeCell ref="P35:Q35"/>
    <mergeCell ref="A31:F31"/>
    <mergeCell ref="G31:I31"/>
    <mergeCell ref="A32:F32"/>
    <mergeCell ref="G32:I32"/>
    <mergeCell ref="A34:A35"/>
    <mergeCell ref="B34:C34"/>
    <mergeCell ref="D34:E34"/>
    <mergeCell ref="F34:G34"/>
    <mergeCell ref="H34:J34"/>
    <mergeCell ref="A28:F28"/>
    <mergeCell ref="G28:I28"/>
    <mergeCell ref="A29:F29"/>
    <mergeCell ref="G29:I29"/>
    <mergeCell ref="A30:F30"/>
    <mergeCell ref="G30:I30"/>
    <mergeCell ref="A27:F27"/>
    <mergeCell ref="G27:I27"/>
    <mergeCell ref="O11:R11"/>
    <mergeCell ref="A12:A13"/>
    <mergeCell ref="B12:B13"/>
    <mergeCell ref="D12:P12"/>
    <mergeCell ref="Q12:R12"/>
    <mergeCell ref="G13:H13"/>
    <mergeCell ref="O13:P13"/>
    <mergeCell ref="Q13:R13"/>
    <mergeCell ref="A15:A16"/>
    <mergeCell ref="A18:A25"/>
    <mergeCell ref="H19:H25"/>
    <mergeCell ref="I19:I25"/>
    <mergeCell ref="J19:J25"/>
    <mergeCell ref="B6:I6"/>
    <mergeCell ref="O6:Q6"/>
    <mergeCell ref="B7:I7"/>
    <mergeCell ref="O7:R7"/>
    <mergeCell ref="K8:L10"/>
    <mergeCell ref="M8:R10"/>
    <mergeCell ref="B9:D9"/>
    <mergeCell ref="F9:I9"/>
    <mergeCell ref="A10:D10"/>
    <mergeCell ref="F10:I10"/>
    <mergeCell ref="B5:I5"/>
    <mergeCell ref="A1:R1"/>
    <mergeCell ref="A2:A3"/>
    <mergeCell ref="B2:I3"/>
    <mergeCell ref="L2:T2"/>
    <mergeCell ref="B4:I4"/>
  </mergeCells>
  <printOptions horizontalCentered="1" verticalCentered="1"/>
  <pageMargins left="0" right="0" top="0" bottom="0" header="0" footer="0"/>
  <pageSetup paperSize="9" scale="44" fitToHeight="0" orientation="landscape" copies="2" r:id="rId1"/>
  <headerFooter alignWithMargins="0"/>
  <rowBreaks count="1" manualBreakCount="1">
    <brk id="37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Mandar</dc:creator>
  <cp:lastModifiedBy>Kakkad, Krunalben</cp:lastModifiedBy>
  <cp:lastPrinted>2024-04-08T05:13:22Z</cp:lastPrinted>
  <dcterms:created xsi:type="dcterms:W3CDTF">2019-01-24T10:04:14Z</dcterms:created>
  <dcterms:modified xsi:type="dcterms:W3CDTF">2026-06-24T06:20:04Z</dcterms:modified>
</cp:coreProperties>
</file>