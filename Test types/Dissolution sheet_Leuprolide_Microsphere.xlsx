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8800" windowHeight="12210" tabRatio="788"/>
  </bookViews>
  <sheets>
    <sheet name="ZEG0572A" sheetId="70" r:id="rId1"/>
  </sheets>
  <definedNames>
    <definedName name="_xlnm.Print_Area" localSheetId="0">ZEG0572A!$A$1:$I$193</definedName>
  </definedNames>
  <calcPr calcId="191029"/>
</workbook>
</file>

<file path=xl/calcChain.xml><?xml version="1.0" encoding="utf-8"?>
<calcChain xmlns="http://schemas.openxmlformats.org/spreadsheetml/2006/main">
  <c r="J189" i="70" l="1"/>
  <c r="K189" i="70" s="1"/>
  <c r="J188" i="70"/>
  <c r="K188" i="70" s="1"/>
  <c r="J187" i="70"/>
  <c r="K187" i="70" s="1"/>
  <c r="J186" i="70"/>
  <c r="K186" i="70" s="1"/>
  <c r="J185" i="70"/>
  <c r="K185" i="70" s="1"/>
  <c r="J184" i="70"/>
  <c r="K184" i="70" s="1"/>
  <c r="J183" i="70"/>
  <c r="K183" i="70" s="1"/>
  <c r="L189" i="70" s="1"/>
  <c r="C183" i="70"/>
  <c r="J182" i="70"/>
  <c r="K182" i="70" s="1"/>
  <c r="L188" i="70" s="1"/>
  <c r="J181" i="70"/>
  <c r="K181" i="70" s="1"/>
  <c r="L187" i="70" s="1"/>
  <c r="J180" i="70"/>
  <c r="K180" i="70" s="1"/>
  <c r="L186" i="70" s="1"/>
  <c r="J179" i="70"/>
  <c r="K179" i="70" s="1"/>
  <c r="L185" i="70" s="1"/>
  <c r="J178" i="70"/>
  <c r="K178" i="70" s="1"/>
  <c r="L184" i="70" s="1"/>
  <c r="J177" i="70"/>
  <c r="K177" i="70" s="1"/>
  <c r="L183" i="70" s="1"/>
  <c r="J176" i="70"/>
  <c r="K176" i="70" s="1"/>
  <c r="L182" i="70" s="1"/>
  <c r="J175" i="70"/>
  <c r="K175" i="70" s="1"/>
  <c r="L181" i="70" s="1"/>
  <c r="J174" i="70"/>
  <c r="K174" i="70" s="1"/>
  <c r="L180" i="70" s="1"/>
  <c r="J173" i="70"/>
  <c r="K173" i="70" s="1"/>
  <c r="L179" i="70" s="1"/>
  <c r="J172" i="70"/>
  <c r="K172" i="70" s="1"/>
  <c r="L178" i="70" s="1"/>
  <c r="J171" i="70"/>
  <c r="K171" i="70" s="1"/>
  <c r="L177" i="70" s="1"/>
  <c r="J170" i="70"/>
  <c r="K170" i="70" s="1"/>
  <c r="L176" i="70" s="1"/>
  <c r="J169" i="70"/>
  <c r="K169" i="70" s="1"/>
  <c r="L175" i="70" s="1"/>
  <c r="J168" i="70"/>
  <c r="K168" i="70" s="1"/>
  <c r="L174" i="70" s="1"/>
  <c r="J167" i="70"/>
  <c r="K167" i="70" s="1"/>
  <c r="L173" i="70" s="1"/>
  <c r="J166" i="70"/>
  <c r="K166" i="70" s="1"/>
  <c r="L172" i="70" s="1"/>
  <c r="J165" i="70"/>
  <c r="K165" i="70" s="1"/>
  <c r="L171" i="70" s="1"/>
  <c r="J164" i="70"/>
  <c r="K164" i="70" s="1"/>
  <c r="L170" i="70" s="1"/>
  <c r="J163" i="70"/>
  <c r="K163" i="70" s="1"/>
  <c r="L169" i="70" s="1"/>
  <c r="J162" i="70"/>
  <c r="K162" i="70" s="1"/>
  <c r="L168" i="70" s="1"/>
  <c r="J161" i="70"/>
  <c r="K161" i="70" s="1"/>
  <c r="L167" i="70" s="1"/>
  <c r="J160" i="70"/>
  <c r="K160" i="70" s="1"/>
  <c r="L166" i="70" s="1"/>
  <c r="J159" i="70"/>
  <c r="K159" i="70" s="1"/>
  <c r="L165" i="70" s="1"/>
  <c r="J158" i="70"/>
  <c r="K158" i="70" s="1"/>
  <c r="L164" i="70" s="1"/>
  <c r="J157" i="70"/>
  <c r="K157" i="70" s="1"/>
  <c r="L163" i="70" s="1"/>
  <c r="J156" i="70"/>
  <c r="K156" i="70" s="1"/>
  <c r="L162" i="70" s="1"/>
  <c r="J155" i="70"/>
  <c r="K155" i="70" s="1"/>
  <c r="L161" i="70" s="1"/>
  <c r="J154" i="70"/>
  <c r="K154" i="70" s="1"/>
  <c r="L160" i="70" s="1"/>
  <c r="J153" i="70"/>
  <c r="K153" i="70" s="1"/>
  <c r="L159" i="70" s="1"/>
  <c r="J152" i="70"/>
  <c r="K152" i="70" s="1"/>
  <c r="L158" i="70" s="1"/>
  <c r="J151" i="70"/>
  <c r="K151" i="70" s="1"/>
  <c r="L157" i="70" s="1"/>
  <c r="J150" i="70"/>
  <c r="K150" i="70" s="1"/>
  <c r="L156" i="70" s="1"/>
  <c r="J149" i="70"/>
  <c r="K149" i="70" s="1"/>
  <c r="L155" i="70" s="1"/>
  <c r="J148" i="70"/>
  <c r="K148" i="70" s="1"/>
  <c r="L154" i="70" s="1"/>
  <c r="J147" i="70"/>
  <c r="K147" i="70" s="1"/>
  <c r="L153" i="70" s="1"/>
  <c r="J146" i="70"/>
  <c r="K146" i="70" s="1"/>
  <c r="L152" i="70" s="1"/>
  <c r="J145" i="70"/>
  <c r="K145" i="70" s="1"/>
  <c r="L151" i="70" s="1"/>
  <c r="J144" i="70"/>
  <c r="K144" i="70" s="1"/>
  <c r="L150" i="70" s="1"/>
  <c r="J143" i="70"/>
  <c r="K143" i="70" s="1"/>
  <c r="L149" i="70" s="1"/>
  <c r="J142" i="70"/>
  <c r="K142" i="70" s="1"/>
  <c r="L148" i="70" s="1"/>
  <c r="J141" i="70"/>
  <c r="K141" i="70" s="1"/>
  <c r="L147" i="70" s="1"/>
  <c r="J140" i="70"/>
  <c r="K140" i="70" s="1"/>
  <c r="L146" i="70" s="1"/>
  <c r="J139" i="70"/>
  <c r="K139" i="70" s="1"/>
  <c r="L145" i="70" s="1"/>
  <c r="J138" i="70"/>
  <c r="K138" i="70" s="1"/>
  <c r="L144" i="70" s="1"/>
  <c r="J137" i="70"/>
  <c r="K137" i="70" s="1"/>
  <c r="L143" i="70" s="1"/>
  <c r="J136" i="70"/>
  <c r="K136" i="70" s="1"/>
  <c r="L142" i="70" s="1"/>
  <c r="J135" i="70"/>
  <c r="K135" i="70" s="1"/>
  <c r="L141" i="70" s="1"/>
  <c r="J134" i="70"/>
  <c r="K134" i="70" s="1"/>
  <c r="L140" i="70" s="1"/>
  <c r="J133" i="70"/>
  <c r="K133" i="70" s="1"/>
  <c r="L139" i="70" s="1"/>
  <c r="J132" i="70"/>
  <c r="K132" i="70" s="1"/>
  <c r="L138" i="70" s="1"/>
  <c r="J131" i="70"/>
  <c r="K131" i="70" s="1"/>
  <c r="L137" i="70" s="1"/>
  <c r="J130" i="70"/>
  <c r="K130" i="70" s="1"/>
  <c r="L136" i="70" s="1"/>
  <c r="J129" i="70"/>
  <c r="K129" i="70" s="1"/>
  <c r="L135" i="70" s="1"/>
  <c r="J128" i="70"/>
  <c r="K128" i="70" s="1"/>
  <c r="L134" i="70" s="1"/>
  <c r="J127" i="70"/>
  <c r="K127" i="70" s="1"/>
  <c r="L133" i="70" s="1"/>
  <c r="J126" i="70"/>
  <c r="K126" i="70" s="1"/>
  <c r="L132" i="70" s="1"/>
  <c r="J125" i="70"/>
  <c r="K125" i="70" s="1"/>
  <c r="L131" i="70" s="1"/>
  <c r="J124" i="70"/>
  <c r="K124" i="70" s="1"/>
  <c r="L130" i="70" s="1"/>
  <c r="J123" i="70"/>
  <c r="K123" i="70" s="1"/>
  <c r="L129" i="70" s="1"/>
  <c r="J122" i="70"/>
  <c r="K122" i="70" s="1"/>
  <c r="L128" i="70" s="1"/>
  <c r="J121" i="70"/>
  <c r="K121" i="70" s="1"/>
  <c r="L127" i="70" s="1"/>
  <c r="J120" i="70"/>
  <c r="J119" i="70"/>
  <c r="K119" i="70" s="1"/>
  <c r="L125" i="70" s="1"/>
  <c r="J118" i="70"/>
  <c r="K118" i="70" s="1"/>
  <c r="L124" i="70" s="1"/>
  <c r="J117" i="70"/>
  <c r="J116" i="70"/>
  <c r="C116" i="70" s="1"/>
  <c r="J115" i="70"/>
  <c r="C115" i="70" s="1"/>
  <c r="J114" i="70"/>
  <c r="K114" i="70" s="1"/>
  <c r="L120" i="70" s="1"/>
  <c r="J113" i="70"/>
  <c r="K113" i="70" s="1"/>
  <c r="L119" i="70" s="1"/>
  <c r="J112" i="70"/>
  <c r="K112" i="70" s="1"/>
  <c r="L118" i="70" s="1"/>
  <c r="J111" i="70"/>
  <c r="K111" i="70" s="1"/>
  <c r="L117" i="70" s="1"/>
  <c r="J110" i="70"/>
  <c r="K110" i="70" s="1"/>
  <c r="L116" i="70" s="1"/>
  <c r="J109" i="70"/>
  <c r="K109" i="70" s="1"/>
  <c r="L115" i="70" s="1"/>
  <c r="J108" i="70"/>
  <c r="C108" i="70" s="1"/>
  <c r="J107" i="70"/>
  <c r="K107" i="70" s="1"/>
  <c r="L113" i="70" s="1"/>
  <c r="J106" i="70"/>
  <c r="K106" i="70" s="1"/>
  <c r="L112" i="70" s="1"/>
  <c r="J105" i="70"/>
  <c r="C105" i="70" s="1"/>
  <c r="J104" i="70"/>
  <c r="K104" i="70" s="1"/>
  <c r="L110" i="70" s="1"/>
  <c r="J103" i="70"/>
  <c r="K103" i="70" s="1"/>
  <c r="L109" i="70" s="1"/>
  <c r="J102" i="70"/>
  <c r="K102" i="70" s="1"/>
  <c r="L108" i="70" s="1"/>
  <c r="J101" i="70"/>
  <c r="C101" i="70" s="1"/>
  <c r="J100" i="70"/>
  <c r="K100" i="70" s="1"/>
  <c r="L106" i="70" s="1"/>
  <c r="J99" i="70"/>
  <c r="K99" i="70" s="1"/>
  <c r="L105" i="70" s="1"/>
  <c r="J98" i="70"/>
  <c r="C98" i="70" s="1"/>
  <c r="J97" i="70"/>
  <c r="K97" i="70" s="1"/>
  <c r="L103" i="70" s="1"/>
  <c r="J96" i="70"/>
  <c r="K96" i="70" s="1"/>
  <c r="L102" i="70" s="1"/>
  <c r="J95" i="70"/>
  <c r="C95" i="70" s="1"/>
  <c r="J94" i="70"/>
  <c r="C94" i="70" s="1"/>
  <c r="J93" i="70"/>
  <c r="K93" i="70" s="1"/>
  <c r="L99" i="70" s="1"/>
  <c r="J92" i="70"/>
  <c r="K92" i="70" s="1"/>
  <c r="L98" i="70" s="1"/>
  <c r="J91" i="70"/>
  <c r="C91" i="70" s="1"/>
  <c r="J90" i="70"/>
  <c r="K90" i="70" s="1"/>
  <c r="L96" i="70" s="1"/>
  <c r="J89" i="70"/>
  <c r="K89" i="70" s="1"/>
  <c r="L95" i="70" s="1"/>
  <c r="J88" i="70"/>
  <c r="C88" i="70" s="1"/>
  <c r="J87" i="70"/>
  <c r="K87" i="70" s="1"/>
  <c r="L93" i="70" s="1"/>
  <c r="J86" i="70"/>
  <c r="K86" i="70" s="1"/>
  <c r="L92" i="70" s="1"/>
  <c r="J85" i="70"/>
  <c r="K85" i="70" s="1"/>
  <c r="L91" i="70" s="1"/>
  <c r="J84" i="70"/>
  <c r="C84" i="70" s="1"/>
  <c r="J83" i="70"/>
  <c r="K83" i="70" s="1"/>
  <c r="L89" i="70" s="1"/>
  <c r="J82" i="70"/>
  <c r="K82" i="70" s="1"/>
  <c r="L88" i="70" s="1"/>
  <c r="J81" i="70"/>
  <c r="C81" i="70" s="1"/>
  <c r="J80" i="70"/>
  <c r="K80" i="70" s="1"/>
  <c r="L86" i="70" s="1"/>
  <c r="J79" i="70"/>
  <c r="K79" i="70" s="1"/>
  <c r="L85" i="70" s="1"/>
  <c r="J75" i="70"/>
  <c r="K75" i="70" s="1"/>
  <c r="L81" i="70" s="1"/>
  <c r="J74" i="70"/>
  <c r="K74" i="70" s="1"/>
  <c r="L80" i="70" s="1"/>
  <c r="J73" i="70"/>
  <c r="K73" i="70" s="1"/>
  <c r="L79" i="70" s="1"/>
  <c r="J71" i="70"/>
  <c r="K71" i="70" s="1"/>
  <c r="J69" i="70"/>
  <c r="K69" i="70" s="1"/>
  <c r="L75" i="70" s="1"/>
  <c r="J68" i="70"/>
  <c r="K68" i="70" s="1"/>
  <c r="L74" i="70" s="1"/>
  <c r="J67" i="70"/>
  <c r="K67" i="70" s="1"/>
  <c r="L73" i="70" s="1"/>
  <c r="J63" i="70"/>
  <c r="K63" i="70" s="1"/>
  <c r="L69" i="70" s="1"/>
  <c r="J62" i="70"/>
  <c r="K62" i="70" s="1"/>
  <c r="L68" i="70" s="1"/>
  <c r="J61" i="70"/>
  <c r="K61" i="70" s="1"/>
  <c r="L67" i="70" s="1"/>
  <c r="J57" i="70"/>
  <c r="K57" i="70" s="1"/>
  <c r="L63" i="70" s="1"/>
  <c r="J56" i="70"/>
  <c r="K56" i="70" s="1"/>
  <c r="L62" i="70" s="1"/>
  <c r="J55" i="70"/>
  <c r="K55" i="70" s="1"/>
  <c r="L61" i="70" s="1"/>
  <c r="J51" i="70"/>
  <c r="K51" i="70" s="1"/>
  <c r="L57" i="70" s="1"/>
  <c r="J50" i="70"/>
  <c r="K50" i="70" s="1"/>
  <c r="L56" i="70" s="1"/>
  <c r="J49" i="70"/>
  <c r="K49" i="70" s="1"/>
  <c r="L55" i="70" s="1"/>
  <c r="J45" i="70"/>
  <c r="K45" i="70" s="1"/>
  <c r="L51" i="70" s="1"/>
  <c r="J44" i="70"/>
  <c r="C44" i="70" s="1"/>
  <c r="J43" i="70"/>
  <c r="K43" i="70" s="1"/>
  <c r="L49" i="70" s="1"/>
  <c r="A35" i="70"/>
  <c r="F28" i="70"/>
  <c r="F29" i="70" s="1"/>
  <c r="F30" i="70" s="1"/>
  <c r="D28" i="70"/>
  <c r="B28" i="70"/>
  <c r="D27" i="70"/>
  <c r="B27" i="70"/>
  <c r="J59" i="70" s="1"/>
  <c r="K59" i="70" s="1"/>
  <c r="I19" i="70"/>
  <c r="J72" i="70" l="1"/>
  <c r="K72" i="70" s="1"/>
  <c r="J76" i="70"/>
  <c r="K76" i="70" s="1"/>
  <c r="J77" i="70"/>
  <c r="K77" i="70" s="1"/>
  <c r="J42" i="70"/>
  <c r="K42" i="70" s="1"/>
  <c r="L48" i="70" s="1"/>
  <c r="J78" i="70"/>
  <c r="K78" i="70" s="1"/>
  <c r="J70" i="70"/>
  <c r="K70" i="70" s="1"/>
  <c r="C87" i="70"/>
  <c r="C174" i="70"/>
  <c r="J52" i="70"/>
  <c r="K52" i="70" s="1"/>
  <c r="J53" i="70"/>
  <c r="K53" i="70" s="1"/>
  <c r="J66" i="70"/>
  <c r="K66" i="70" s="1"/>
  <c r="J46" i="70"/>
  <c r="K46" i="70" s="1"/>
  <c r="J58" i="70"/>
  <c r="K58" i="70" s="1"/>
  <c r="J40" i="70"/>
  <c r="C40" i="70" s="1"/>
  <c r="J65" i="70"/>
  <c r="K65" i="70" s="1"/>
  <c r="J54" i="70"/>
  <c r="K54" i="70" s="1"/>
  <c r="J41" i="70"/>
  <c r="C41" i="70" s="1"/>
  <c r="J48" i="70"/>
  <c r="K48" i="70" s="1"/>
  <c r="L54" i="70" s="1"/>
  <c r="J60" i="70"/>
  <c r="K60" i="70" s="1"/>
  <c r="C142" i="70"/>
  <c r="J64" i="70"/>
  <c r="K64" i="70" s="1"/>
  <c r="J47" i="70"/>
  <c r="K47" i="70" s="1"/>
  <c r="C45" i="70"/>
  <c r="C79" i="70"/>
  <c r="C125" i="70"/>
  <c r="C49" i="70"/>
  <c r="C147" i="70"/>
  <c r="C112" i="70"/>
  <c r="C130" i="70"/>
  <c r="C136" i="70"/>
  <c r="C75" i="70"/>
  <c r="C99" i="70"/>
  <c r="C102" i="70"/>
  <c r="C51" i="70"/>
  <c r="C62" i="70"/>
  <c r="K95" i="70"/>
  <c r="L101" i="70" s="1"/>
  <c r="C61" i="70"/>
  <c r="C63" i="70"/>
  <c r="C73" i="70"/>
  <c r="C92" i="70"/>
  <c r="C107" i="70"/>
  <c r="C110" i="70"/>
  <c r="C154" i="70"/>
  <c r="C157" i="70"/>
  <c r="K88" i="70"/>
  <c r="L94" i="70" s="1"/>
  <c r="C148" i="70"/>
  <c r="B29" i="70"/>
  <c r="C50" i="70"/>
  <c r="C74" i="70"/>
  <c r="C80" i="70"/>
  <c r="C83" i="70"/>
  <c r="C86" i="70"/>
  <c r="C106" i="70"/>
  <c r="C111" i="70"/>
  <c r="K115" i="70"/>
  <c r="L121" i="70" s="1"/>
  <c r="C126" i="70"/>
  <c r="C129" i="70"/>
  <c r="C164" i="70"/>
  <c r="C167" i="70"/>
  <c r="D29" i="70"/>
  <c r="C55" i="70"/>
  <c r="C57" i="70"/>
  <c r="C68" i="70"/>
  <c r="C85" i="70"/>
  <c r="C90" i="70"/>
  <c r="C96" i="70"/>
  <c r="C100" i="70"/>
  <c r="C104" i="70"/>
  <c r="C109" i="70"/>
  <c r="C114" i="70"/>
  <c r="C119" i="70"/>
  <c r="C122" i="70"/>
  <c r="C124" i="70"/>
  <c r="C143" i="70"/>
  <c r="C160" i="70"/>
  <c r="C171" i="70"/>
  <c r="C181" i="70"/>
  <c r="C43" i="70"/>
  <c r="C56" i="70"/>
  <c r="C67" i="70"/>
  <c r="C69" i="70"/>
  <c r="C89" i="70"/>
  <c r="C93" i="70"/>
  <c r="C97" i="70"/>
  <c r="C103" i="70"/>
  <c r="C113" i="70"/>
  <c r="C118" i="70"/>
  <c r="C123" i="70"/>
  <c r="C133" i="70"/>
  <c r="C140" i="70"/>
  <c r="C150" i="70"/>
  <c r="C166" i="70"/>
  <c r="C172" i="70"/>
  <c r="C178" i="70"/>
  <c r="K81" i="70"/>
  <c r="L87" i="70" s="1"/>
  <c r="K84" i="70"/>
  <c r="L90" i="70" s="1"/>
  <c r="K91" i="70"/>
  <c r="L97" i="70" s="1"/>
  <c r="K94" i="70"/>
  <c r="L100" i="70" s="1"/>
  <c r="K98" i="70"/>
  <c r="L104" i="70" s="1"/>
  <c r="K101" i="70"/>
  <c r="L107" i="70" s="1"/>
  <c r="K105" i="70"/>
  <c r="L111" i="70" s="1"/>
  <c r="K108" i="70"/>
  <c r="L114" i="70" s="1"/>
  <c r="C82" i="70"/>
  <c r="K116" i="70"/>
  <c r="L122" i="70" s="1"/>
  <c r="K44" i="70"/>
  <c r="L50" i="70" s="1"/>
  <c r="K117" i="70"/>
  <c r="L123" i="70" s="1"/>
  <c r="C117" i="70"/>
  <c r="K120" i="70"/>
  <c r="L126" i="70" s="1"/>
  <c r="C120" i="70"/>
  <c r="C127" i="70"/>
  <c r="C134" i="70"/>
  <c r="C137" i="70"/>
  <c r="C141" i="70"/>
  <c r="C144" i="70"/>
  <c r="C151" i="70"/>
  <c r="C158" i="70"/>
  <c r="C161" i="70"/>
  <c r="C165" i="70"/>
  <c r="C168" i="70"/>
  <c r="C175" i="70"/>
  <c r="C182" i="70"/>
  <c r="C186" i="70"/>
  <c r="C188" i="70"/>
  <c r="C132" i="70"/>
  <c r="C139" i="70"/>
  <c r="C146" i="70"/>
  <c r="C149" i="70"/>
  <c r="C153" i="70"/>
  <c r="C156" i="70"/>
  <c r="C163" i="70"/>
  <c r="C170" i="70"/>
  <c r="C173" i="70"/>
  <c r="C177" i="70"/>
  <c r="C180" i="70"/>
  <c r="C184" i="70"/>
  <c r="C185" i="70"/>
  <c r="C187" i="70"/>
  <c r="C189" i="70"/>
  <c r="C121" i="70"/>
  <c r="C128" i="70"/>
  <c r="C131" i="70"/>
  <c r="C135" i="70"/>
  <c r="C138" i="70"/>
  <c r="C145" i="70"/>
  <c r="C152" i="70"/>
  <c r="C155" i="70"/>
  <c r="C159" i="70"/>
  <c r="C162" i="70"/>
  <c r="C169" i="70"/>
  <c r="C176" i="70"/>
  <c r="C179" i="70"/>
  <c r="C42" i="70" l="1"/>
  <c r="D40" i="70" s="1"/>
  <c r="G40" i="70" s="1"/>
  <c r="K41" i="70"/>
  <c r="L47" i="70" s="1"/>
  <c r="C47" i="70" s="1"/>
  <c r="L60" i="70"/>
  <c r="C60" i="70" s="1"/>
  <c r="K40" i="70"/>
  <c r="L46" i="70" s="1"/>
  <c r="C46" i="70" s="1"/>
  <c r="C48" i="70"/>
  <c r="C54" i="70"/>
  <c r="F148" i="70"/>
  <c r="F106" i="70"/>
  <c r="E106" i="70"/>
  <c r="F100" i="70"/>
  <c r="E172" i="70"/>
  <c r="E100" i="70"/>
  <c r="D100" i="70"/>
  <c r="G100" i="70" s="1"/>
  <c r="F130" i="70"/>
  <c r="E142" i="70"/>
  <c r="F94" i="70"/>
  <c r="D106" i="70"/>
  <c r="G106" i="70" s="1"/>
  <c r="F178" i="70"/>
  <c r="E112" i="70"/>
  <c r="E124" i="70"/>
  <c r="F172" i="70"/>
  <c r="D118" i="70"/>
  <c r="G118" i="70" s="1"/>
  <c r="F112" i="70"/>
  <c r="D94" i="70"/>
  <c r="G94" i="70" s="1"/>
  <c r="F124" i="70"/>
  <c r="E154" i="70"/>
  <c r="E94" i="70"/>
  <c r="E88" i="70"/>
  <c r="D166" i="70"/>
  <c r="G166" i="70" s="1"/>
  <c r="E118" i="70"/>
  <c r="D124" i="70"/>
  <c r="G124" i="70" s="1"/>
  <c r="D112" i="70"/>
  <c r="G112" i="70" s="1"/>
  <c r="D88" i="70"/>
  <c r="G88" i="70" s="1"/>
  <c r="E160" i="70"/>
  <c r="E148" i="70"/>
  <c r="F88" i="70"/>
  <c r="E166" i="70"/>
  <c r="F154" i="70"/>
  <c r="D178" i="70"/>
  <c r="G178" i="70" s="1"/>
  <c r="D154" i="70"/>
  <c r="G154" i="70" s="1"/>
  <c r="E178" i="70"/>
  <c r="F166" i="70"/>
  <c r="D136" i="70"/>
  <c r="G136" i="70" s="1"/>
  <c r="F136" i="70"/>
  <c r="F118" i="70"/>
  <c r="F82" i="70"/>
  <c r="D82" i="70"/>
  <c r="G82" i="70" s="1"/>
  <c r="E82" i="70"/>
  <c r="D130" i="70"/>
  <c r="G130" i="70" s="1"/>
  <c r="F184" i="70"/>
  <c r="E184" i="70"/>
  <c r="D184" i="70"/>
  <c r="G184" i="70" s="1"/>
  <c r="D172" i="70"/>
  <c r="G172" i="70" s="1"/>
  <c r="D148" i="70"/>
  <c r="G148" i="70" s="1"/>
  <c r="E136" i="70"/>
  <c r="E130" i="70"/>
  <c r="D160" i="70"/>
  <c r="G160" i="70" s="1"/>
  <c r="F160" i="70"/>
  <c r="F142" i="70"/>
  <c r="D142" i="70"/>
  <c r="G142" i="70" s="1"/>
  <c r="F40" i="70" l="1"/>
  <c r="E40" i="70"/>
  <c r="L53" i="70"/>
  <c r="C53" i="70" s="1"/>
  <c r="E46" i="70"/>
  <c r="L52" i="70"/>
  <c r="L66" i="70"/>
  <c r="D46" i="70"/>
  <c r="G46" i="70" s="1"/>
  <c r="F46" i="70"/>
  <c r="L59" i="70" l="1"/>
  <c r="C52" i="70"/>
  <c r="L58" i="70"/>
  <c r="L65" i="70"/>
  <c r="C59" i="70"/>
  <c r="C66" i="70"/>
  <c r="L72" i="70"/>
  <c r="C72" i="70" l="1"/>
  <c r="L78" i="70"/>
  <c r="C58" i="70"/>
  <c r="E58" i="70" s="1"/>
  <c r="L64" i="70"/>
  <c r="D52" i="70"/>
  <c r="G52" i="70" s="1"/>
  <c r="F52" i="70"/>
  <c r="E52" i="70"/>
  <c r="C65" i="70"/>
  <c r="L71" i="70"/>
  <c r="F58" i="70" l="1"/>
  <c r="L77" i="70"/>
  <c r="C71" i="70"/>
  <c r="L84" i="70"/>
  <c r="C78" i="70"/>
  <c r="D58" i="70"/>
  <c r="G58" i="70" s="1"/>
  <c r="C64" i="70"/>
  <c r="F64" i="70" s="1"/>
  <c r="L70" i="70"/>
  <c r="D64" i="70" l="1"/>
  <c r="G64" i="70" s="1"/>
  <c r="E64" i="70"/>
  <c r="C70" i="70"/>
  <c r="L76" i="70"/>
  <c r="L83" i="70"/>
  <c r="C77" i="70"/>
  <c r="L82" i="70" l="1"/>
  <c r="C76" i="70"/>
  <c r="D70" i="70"/>
  <c r="G70" i="70" s="1"/>
  <c r="F70" i="70"/>
  <c r="E70" i="70"/>
  <c r="F76" i="70" l="1"/>
  <c r="E76" i="70"/>
  <c r="D76" i="70"/>
  <c r="G76" i="70" s="1"/>
</calcChain>
</file>

<file path=xl/sharedStrings.xml><?xml version="1.0" encoding="utf-8"?>
<sst xmlns="http://schemas.openxmlformats.org/spreadsheetml/2006/main" count="116" uniqueCount="106">
  <si>
    <t>Mean</t>
  </si>
  <si>
    <t>% RSD</t>
  </si>
  <si>
    <t>% Assay</t>
  </si>
  <si>
    <t>Min</t>
  </si>
  <si>
    <t>Max</t>
  </si>
  <si>
    <t>RSD</t>
  </si>
  <si>
    <t>R &amp; D Gandhinagar</t>
  </si>
  <si>
    <t>Analytical Development</t>
  </si>
  <si>
    <t>Blend Uniformity Calculation Sheet</t>
  </si>
  <si>
    <t>Generic Name</t>
  </si>
  <si>
    <t>Product Name</t>
  </si>
  <si>
    <t>TRF No.</t>
  </si>
  <si>
    <t>AR No.</t>
  </si>
  <si>
    <t>Batch No.</t>
  </si>
  <si>
    <t>Test</t>
  </si>
  <si>
    <t>Analysis as per</t>
  </si>
  <si>
    <t>Analysed By</t>
  </si>
  <si>
    <t>Instrument Id.</t>
  </si>
  <si>
    <t>Date of Analysis</t>
  </si>
  <si>
    <t>Standard detail</t>
  </si>
  <si>
    <t>Standard name</t>
  </si>
  <si>
    <t>Potency</t>
  </si>
  <si>
    <t>Molecular weight of base</t>
  </si>
  <si>
    <t>Molecular weight of salt</t>
  </si>
  <si>
    <t>Weight (mg)</t>
  </si>
  <si>
    <t>Dilution-1 (mL)</t>
  </si>
  <si>
    <t>Volume-1 (mL)</t>
  </si>
  <si>
    <t>Dilution-2 (mL)</t>
  </si>
  <si>
    <t>Concentration (ppm)</t>
  </si>
  <si>
    <t>SR.No.</t>
  </si>
  <si>
    <t>Standard area</t>
  </si>
  <si>
    <t>BKT-1</t>
  </si>
  <si>
    <t>BKT-2</t>
  </si>
  <si>
    <t>BKT-3</t>
  </si>
  <si>
    <t>BKT-4</t>
  </si>
  <si>
    <t>BKT-5</t>
  </si>
  <si>
    <t>STDev</t>
  </si>
  <si>
    <t>Sample Area</t>
  </si>
  <si>
    <t xml:space="preserve"> Cumulative %Release</t>
  </si>
  <si>
    <t>Anlaysed By :</t>
  </si>
  <si>
    <t>Checked By :</t>
  </si>
  <si>
    <t>Date :</t>
  </si>
  <si>
    <t>Donot Delet</t>
  </si>
  <si>
    <t>Media</t>
  </si>
  <si>
    <t>Dissolution Parameter</t>
  </si>
  <si>
    <t>Dissolution Unit</t>
  </si>
  <si>
    <t xml:space="preserve"> Unit-1</t>
  </si>
  <si>
    <t xml:space="preserve"> Unit-2</t>
  </si>
  <si>
    <t xml:space="preserve"> Unit-3</t>
  </si>
  <si>
    <t xml:space="preserve"> Unit-4</t>
  </si>
  <si>
    <t xml:space="preserve"> Unit-5</t>
  </si>
  <si>
    <t xml:space="preserve"> Unit-6</t>
  </si>
  <si>
    <t>Pellets Weight in mg</t>
  </si>
  <si>
    <t>Apparatus</t>
  </si>
  <si>
    <t>Stability Condition</t>
  </si>
  <si>
    <t>Volume in mL</t>
  </si>
  <si>
    <t>RPM</t>
  </si>
  <si>
    <t>BKT Standard area</t>
  </si>
  <si>
    <t>Media volume</t>
  </si>
  <si>
    <t>Temp °C</t>
  </si>
  <si>
    <t>Average weight mg</t>
  </si>
  <si>
    <t>Lable claim mg</t>
  </si>
  <si>
    <t>Pipette Vol . mL</t>
  </si>
  <si>
    <t>V.F. Vol. mL</t>
  </si>
  <si>
    <t xml:space="preserve">Sample withdrow/ Relplace </t>
  </si>
  <si>
    <t>Time Points</t>
  </si>
  <si>
    <t>Bottle Rotating</t>
  </si>
  <si>
    <t>1 Hr</t>
  </si>
  <si>
    <t>Leuprolide Acetate</t>
  </si>
  <si>
    <t>AD/TATP/220/01</t>
  </si>
  <si>
    <t>0.5% W/V PVA IN WATER pH 5.50</t>
  </si>
  <si>
    <t>In Vitro Release</t>
  </si>
  <si>
    <t>96 Hr</t>
  </si>
  <si>
    <t>24 Hr</t>
  </si>
  <si>
    <t>120 Hr</t>
  </si>
  <si>
    <t>144 Hr</t>
  </si>
  <si>
    <t>168 Hr</t>
  </si>
  <si>
    <t>Initial</t>
  </si>
  <si>
    <t>Ashish Parmar</t>
  </si>
  <si>
    <t>AD/HPLC/065</t>
  </si>
  <si>
    <t>ZEG0572A</t>
  </si>
  <si>
    <t>203438</t>
  </si>
  <si>
    <t>231282</t>
  </si>
  <si>
    <t>174411</t>
  </si>
  <si>
    <t>1197064</t>
  </si>
  <si>
    <t>1263981</t>
  </si>
  <si>
    <t>1227593</t>
  </si>
  <si>
    <t>1296145</t>
  </si>
  <si>
    <t>1179857</t>
  </si>
  <si>
    <t>1245725</t>
  </si>
  <si>
    <t>1131004</t>
  </si>
  <si>
    <t>1222516</t>
  </si>
  <si>
    <t>AD/045/26/0265</t>
  </si>
  <si>
    <t>TRF-031-26-055</t>
  </si>
  <si>
    <t>Leuprolide acetate for depot suspension_22.5mg</t>
  </si>
  <si>
    <t>1013055</t>
  </si>
  <si>
    <t>1099287</t>
  </si>
  <si>
    <t>844093</t>
  </si>
  <si>
    <t>681560</t>
  </si>
  <si>
    <t>48 Hr</t>
  </si>
  <si>
    <t>1249184</t>
  </si>
  <si>
    <t>1305962</t>
  </si>
  <si>
    <t>1289173</t>
  </si>
  <si>
    <t>1074121</t>
  </si>
  <si>
    <t>761709</t>
  </si>
  <si>
    <t>589270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</si>
</sst>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4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8" xfId="0" applyFont="1" applyBorder="1" applyProtection="1">
      <protection hidden="1"/>
    </xf>
    <xf numFmtId="0" fontId="3" fillId="0" borderId="9" xfId="0" applyFont="1" applyBorder="1" applyProtection="1">
      <protection hidden="1"/>
    </xf>
    <xf numFmtId="0" fontId="3" fillId="0" borderId="10" xfId="0" applyFont="1" applyBorder="1" applyProtection="1">
      <protection hidden="1"/>
    </xf>
    <xf numFmtId="0" fontId="3" fillId="0" borderId="0" xfId="0" applyFont="1" applyProtection="1">
      <protection hidden="1"/>
    </xf>
    <xf numFmtId="0" fontId="0" fillId="0" borderId="0" xfId="0" applyBorder="1" applyProtection="1">
      <protection hidden="1"/>
    </xf>
    <xf numFmtId="0" fontId="0" fillId="0" borderId="0" xfId="0" applyProtection="1">
      <protection hidden="1"/>
    </xf>
    <xf numFmtId="0" fontId="5" fillId="0" borderId="13" xfId="0" applyFont="1" applyFill="1" applyBorder="1" applyAlignment="1" applyProtection="1">
      <alignment vertical="center"/>
      <protection hidden="1"/>
    </xf>
    <xf numFmtId="0" fontId="3" fillId="0" borderId="0" xfId="0" applyFont="1" applyFill="1" applyProtection="1">
      <protection hidden="1"/>
    </xf>
    <xf numFmtId="0" fontId="5" fillId="0" borderId="13" xfId="0" applyFont="1" applyFill="1" applyBorder="1" applyAlignment="1" applyProtection="1">
      <alignment horizontal="left" vertical="center"/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0" fillId="3" borderId="13" xfId="0" applyFont="1" applyFill="1" applyBorder="1" applyAlignment="1" applyProtection="1">
      <alignment horizontal="left" vertical="center" wrapText="1"/>
      <protection hidden="1"/>
    </xf>
    <xf numFmtId="164" fontId="0" fillId="0" borderId="1" xfId="0" applyNumberFormat="1" applyFont="1" applyBorder="1" applyAlignment="1" applyProtection="1">
      <alignment horizontal="center" vertical="center" wrapText="1"/>
      <protection hidden="1"/>
    </xf>
    <xf numFmtId="0" fontId="0" fillId="0" borderId="1" xfId="0" applyFont="1" applyBorder="1" applyAlignment="1" applyProtection="1">
      <alignment horizontal="center" vertical="center" wrapText="1"/>
      <protection hidden="1"/>
    </xf>
    <xf numFmtId="0" fontId="0" fillId="0" borderId="14" xfId="0" applyFont="1" applyBorder="1" applyAlignment="1" applyProtection="1">
      <alignment horizontal="center" vertical="center" wrapText="1"/>
      <protection hidden="1"/>
    </xf>
    <xf numFmtId="0" fontId="0" fillId="4" borderId="11" xfId="0" applyFont="1" applyFill="1" applyBorder="1" applyAlignment="1" applyProtection="1">
      <alignment horizontal="left" vertical="center" wrapText="1"/>
      <protection hidden="1"/>
    </xf>
    <xf numFmtId="2" fontId="0" fillId="2" borderId="0" xfId="0" applyNumberFormat="1" applyFont="1" applyFill="1" applyBorder="1" applyAlignment="1" applyProtection="1">
      <alignment horizontal="center" vertical="center" wrapText="1"/>
      <protection hidden="1"/>
    </xf>
    <xf numFmtId="165" fontId="0" fillId="2" borderId="0" xfId="0" applyNumberFormat="1" applyFont="1" applyFill="1" applyBorder="1" applyAlignment="1" applyProtection="1">
      <alignment horizontal="center" vertical="center" wrapText="1"/>
      <protection hidden="1"/>
    </xf>
    <xf numFmtId="1" fontId="0" fillId="2" borderId="0" xfId="0" applyNumberFormat="1" applyFont="1" applyFill="1" applyBorder="1" applyAlignment="1" applyProtection="1">
      <alignment horizontal="center" vertical="center" wrapText="1"/>
      <protection hidden="1"/>
    </xf>
    <xf numFmtId="1" fontId="3" fillId="5" borderId="13" xfId="0" applyNumberFormat="1" applyFont="1" applyFill="1" applyBorder="1" applyAlignment="1" applyProtection="1">
      <alignment horizontal="center" vertical="center"/>
      <protection hidden="1"/>
    </xf>
    <xf numFmtId="1" fontId="3" fillId="5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/>
      <protection hidden="1"/>
    </xf>
    <xf numFmtId="2" fontId="3" fillId="5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164" fontId="3" fillId="5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3" xfId="0" applyFont="1" applyBorder="1" applyAlignment="1" applyProtection="1">
      <alignment horizontal="center" vertical="center" wrapText="1"/>
      <protection hidden="1"/>
    </xf>
    <xf numFmtId="0" fontId="4" fillId="3" borderId="0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horizontal="center" vertical="center" wrapText="1"/>
      <protection hidden="1"/>
    </xf>
    <xf numFmtId="165" fontId="3" fillId="5" borderId="0" xfId="0" applyNumberFormat="1" applyFont="1" applyFill="1" applyBorder="1" applyAlignment="1" applyProtection="1">
      <alignment horizontal="center" vertical="center"/>
      <protection hidden="1"/>
    </xf>
    <xf numFmtId="0" fontId="4" fillId="3" borderId="0" xfId="0" applyFont="1" applyFill="1" applyBorder="1" applyAlignment="1" applyProtection="1">
      <alignment horizontal="center" vertical="center"/>
      <protection hidden="1"/>
    </xf>
    <xf numFmtId="164" fontId="0" fillId="0" borderId="14" xfId="0" applyNumberFormat="1" applyFont="1" applyBorder="1" applyAlignment="1" applyProtection="1">
      <alignment horizontal="center" vertical="center" wrapText="1"/>
      <protection hidden="1"/>
    </xf>
    <xf numFmtId="0" fontId="4" fillId="0" borderId="13" xfId="0" applyFont="1" applyFill="1" applyBorder="1" applyAlignment="1" applyProtection="1">
      <alignment horizontal="right"/>
      <protection hidden="1"/>
    </xf>
    <xf numFmtId="0" fontId="3" fillId="2" borderId="1" xfId="0" applyFont="1" applyFill="1" applyBorder="1" applyAlignment="1" applyProtection="1">
      <protection hidden="1"/>
    </xf>
    <xf numFmtId="0" fontId="3" fillId="2" borderId="0" xfId="0" applyFont="1" applyFill="1" applyBorder="1" applyAlignment="1" applyProtection="1">
      <protection hidden="1"/>
    </xf>
    <xf numFmtId="0" fontId="4" fillId="0" borderId="1" xfId="0" applyFont="1" applyFill="1" applyBorder="1" applyAlignment="1" applyProtection="1">
      <protection hidden="1"/>
    </xf>
    <xf numFmtId="0" fontId="3" fillId="2" borderId="1" xfId="0" quotePrefix="1" applyNumberFormat="1" applyFont="1" applyFill="1" applyBorder="1" applyAlignment="1" applyProtection="1">
      <protection hidden="1"/>
    </xf>
    <xf numFmtId="0" fontId="3" fillId="2" borderId="0" xfId="0" applyNumberFormat="1" applyFont="1" applyFill="1" applyBorder="1" applyAlignment="1" applyProtection="1">
      <protection hidden="1"/>
    </xf>
    <xf numFmtId="0" fontId="4" fillId="3" borderId="12" xfId="0" applyFont="1" applyFill="1" applyBorder="1" applyAlignment="1" applyProtection="1">
      <alignment vertical="center"/>
      <protection hidden="1"/>
    </xf>
    <xf numFmtId="0" fontId="3" fillId="0" borderId="0" xfId="0" applyFont="1" applyBorder="1" applyProtection="1">
      <protection hidden="1"/>
    </xf>
    <xf numFmtId="1" fontId="3" fillId="5" borderId="25" xfId="0" applyNumberFormat="1" applyFont="1" applyFill="1" applyBorder="1" applyAlignment="1" applyProtection="1">
      <alignment vertical="center" wrapText="1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0" xfId="0" applyFill="1" applyBorder="1" applyProtection="1">
      <protection hidden="1"/>
    </xf>
    <xf numFmtId="0" fontId="0" fillId="0" borderId="0" xfId="0" applyFill="1" applyBorder="1" applyAlignment="1" applyProtection="1">
      <alignment horizontal="center"/>
      <protection hidden="1"/>
    </xf>
    <xf numFmtId="165" fontId="0" fillId="0" borderId="0" xfId="0" applyNumberForma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7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Protection="1"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49" fontId="3" fillId="7" borderId="1" xfId="0" applyNumberFormat="1" applyFont="1" applyFill="1" applyBorder="1" applyAlignment="1" applyProtection="1">
      <alignment horizontal="center" vertical="top"/>
      <protection locked="0"/>
    </xf>
    <xf numFmtId="166" fontId="3" fillId="7" borderId="30" xfId="0" applyNumberFormat="1" applyFont="1" applyFill="1" applyBorder="1" applyAlignment="1" applyProtection="1">
      <alignment horizontal="center" vertical="center"/>
      <protection locked="0"/>
    </xf>
    <xf numFmtId="1" fontId="3" fillId="7" borderId="14" xfId="0" applyNumberFormat="1" applyFont="1" applyFill="1" applyBorder="1" applyAlignment="1" applyProtection="1">
      <alignment horizontal="center" vertical="center"/>
      <protection locked="0"/>
    </xf>
    <xf numFmtId="166" fontId="3" fillId="7" borderId="14" xfId="0" applyNumberFormat="1" applyFont="1" applyFill="1" applyBorder="1" applyAlignment="1" applyProtection="1">
      <alignment horizontal="center" vertical="center"/>
      <protection locked="0"/>
    </xf>
    <xf numFmtId="1" fontId="0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9" borderId="13" xfId="0" applyFont="1" applyFill="1" applyBorder="1" applyAlignment="1" applyProtection="1">
      <alignment horizontal="center" vertical="center" wrapText="1"/>
      <protection locked="0"/>
    </xf>
    <xf numFmtId="2" fontId="0" fillId="8" borderId="1" xfId="0" applyNumberFormat="1" applyFont="1" applyFill="1" applyBorder="1" applyAlignment="1" applyProtection="1">
      <alignment horizontal="center" vertical="center" wrapText="1"/>
      <protection locked="0"/>
    </xf>
    <xf numFmtId="165" fontId="0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Fill="1" applyBorder="1" applyAlignment="1" applyProtection="1">
      <alignment horizontal="center" vertical="center"/>
      <protection hidden="1"/>
    </xf>
    <xf numFmtId="164" fontId="3" fillId="7" borderId="1" xfId="0" applyNumberFormat="1" applyFont="1" applyFill="1" applyBorder="1" applyAlignment="1" applyProtection="1">
      <alignment horizontal="center" vertical="top"/>
      <protection locked="0"/>
    </xf>
    <xf numFmtId="2" fontId="3" fillId="7" borderId="1" xfId="0" applyNumberFormat="1" applyFont="1" applyFill="1" applyBorder="1" applyAlignment="1" applyProtection="1">
      <alignment horizontal="center" vertical="top"/>
      <protection locked="0"/>
    </xf>
    <xf numFmtId="2" fontId="9" fillId="0" borderId="1" xfId="0" applyNumberFormat="1" applyFont="1" applyBorder="1" applyAlignment="1">
      <alignment horizontal="center"/>
    </xf>
    <xf numFmtId="0" fontId="3" fillId="8" borderId="18" xfId="0" applyFont="1" applyFill="1" applyBorder="1" applyAlignment="1" applyProtection="1">
      <alignment horizontal="left" vertical="center"/>
      <protection locked="0"/>
    </xf>
    <xf numFmtId="1" fontId="3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8" borderId="2" xfId="0" applyFont="1" applyFill="1" applyBorder="1" applyAlignment="1" applyProtection="1">
      <alignment horizontal="left" vertical="center"/>
      <protection locked="0"/>
    </xf>
    <xf numFmtId="0" fontId="3" fillId="8" borderId="7" xfId="0" applyFont="1" applyFill="1" applyBorder="1" applyAlignment="1" applyProtection="1">
      <alignment horizontal="left" vertical="center"/>
      <protection locked="0"/>
    </xf>
    <xf numFmtId="0" fontId="3" fillId="8" borderId="18" xfId="0" applyFont="1" applyFill="1" applyBorder="1" applyAlignment="1" applyProtection="1">
      <alignment horizontal="left" vertical="center"/>
      <protection locked="0"/>
    </xf>
    <xf numFmtId="0" fontId="3" fillId="8" borderId="1" xfId="0" applyFont="1" applyFill="1" applyBorder="1" applyAlignment="1" applyProtection="1">
      <alignment horizontal="left" vertical="center"/>
      <protection locked="0"/>
    </xf>
    <xf numFmtId="0" fontId="3" fillId="8" borderId="14" xfId="0" applyFont="1" applyFill="1" applyBorder="1" applyAlignment="1" applyProtection="1">
      <alignment horizontal="left" vertical="center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4" xfId="0" applyFont="1" applyFill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0" borderId="12" xfId="0" applyFont="1" applyBorder="1" applyAlignment="1" applyProtection="1">
      <alignment horizontal="center"/>
      <protection hidden="1"/>
    </xf>
    <xf numFmtId="0" fontId="3" fillId="8" borderId="15" xfId="0" applyFont="1" applyFill="1" applyBorder="1" applyAlignment="1" applyProtection="1">
      <alignment horizontal="left" vertical="center"/>
      <protection locked="0"/>
    </xf>
    <xf numFmtId="0" fontId="3" fillId="8" borderId="16" xfId="0" applyFont="1" applyFill="1" applyBorder="1" applyAlignment="1" applyProtection="1">
      <alignment horizontal="left" vertical="center"/>
      <protection locked="0"/>
    </xf>
    <xf numFmtId="0" fontId="3" fillId="8" borderId="17" xfId="0" applyFont="1" applyFill="1" applyBorder="1" applyAlignment="1" applyProtection="1">
      <alignment horizontal="left" vertical="center"/>
      <protection locked="0"/>
    </xf>
    <xf numFmtId="0" fontId="2" fillId="6" borderId="0" xfId="0" applyFont="1" applyFill="1" applyBorder="1" applyAlignment="1" applyProtection="1">
      <alignment horizontal="center"/>
      <protection hidden="1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164" fontId="8" fillId="0" borderId="4" xfId="0" applyNumberFormat="1" applyFont="1" applyBorder="1" applyAlignment="1" applyProtection="1">
      <alignment horizontal="center" vertical="center" wrapText="1"/>
      <protection hidden="1"/>
    </xf>
    <xf numFmtId="164" fontId="8" fillId="0" borderId="5" xfId="0" applyNumberFormat="1" applyFont="1" applyBorder="1" applyAlignment="1" applyProtection="1">
      <alignment horizontal="center" vertical="center" wrapText="1"/>
      <protection hidden="1"/>
    </xf>
    <xf numFmtId="164" fontId="8" fillId="0" borderId="6" xfId="0" applyNumberFormat="1" applyFont="1" applyBorder="1" applyAlignment="1" applyProtection="1">
      <alignment horizontal="center" vertical="center" wrapText="1"/>
      <protection hidden="1"/>
    </xf>
    <xf numFmtId="0" fontId="3" fillId="8" borderId="2" xfId="0" applyNumberFormat="1" applyFont="1" applyFill="1" applyBorder="1" applyAlignment="1" applyProtection="1">
      <alignment horizontal="left" vertical="center"/>
      <protection locked="0"/>
    </xf>
    <xf numFmtId="0" fontId="3" fillId="8" borderId="7" xfId="0" quotePrefix="1" applyNumberFormat="1" applyFont="1" applyFill="1" applyBorder="1" applyAlignment="1" applyProtection="1">
      <alignment horizontal="left" vertical="center"/>
      <protection locked="0"/>
    </xf>
    <xf numFmtId="0" fontId="3" fillId="8" borderId="18" xfId="0" quotePrefix="1" applyNumberFormat="1" applyFont="1" applyFill="1" applyBorder="1" applyAlignment="1" applyProtection="1">
      <alignment horizontal="left" vertical="center"/>
      <protection locked="0"/>
    </xf>
    <xf numFmtId="14" fontId="3" fillId="8" borderId="1" xfId="0" quotePrefix="1" applyNumberFormat="1" applyFont="1" applyFill="1" applyBorder="1" applyAlignment="1" applyProtection="1">
      <alignment horizontal="left" vertical="center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1" fontId="3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3" fillId="5" borderId="1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166" fontId="3" fillId="7" borderId="15" xfId="0" applyNumberFormat="1" applyFont="1" applyFill="1" applyBorder="1" applyAlignment="1" applyProtection="1">
      <alignment horizontal="center" vertical="center" wrapText="1"/>
      <protection locked="0"/>
    </xf>
    <xf numFmtId="166" fontId="3" fillId="7" borderId="26" xfId="0" applyNumberFormat="1" applyFont="1" applyFill="1" applyBorder="1" applyAlignment="1" applyProtection="1">
      <alignment horizontal="center" vertical="center" wrapText="1"/>
      <protection locked="0"/>
    </xf>
    <xf numFmtId="166" fontId="3" fillId="7" borderId="25" xfId="0" applyNumberFormat="1" applyFont="1" applyFill="1" applyBorder="1" applyAlignment="1" applyProtection="1">
      <alignment horizontal="center" vertical="center" wrapText="1"/>
      <protection locked="0"/>
    </xf>
    <xf numFmtId="166" fontId="3" fillId="7" borderId="27" xfId="0" applyNumberFormat="1" applyFont="1" applyFill="1" applyBorder="1" applyAlignment="1" applyProtection="1">
      <alignment horizontal="center" vertical="center" wrapText="1"/>
      <protection locked="0"/>
    </xf>
    <xf numFmtId="166" fontId="3" fillId="7" borderId="28" xfId="0" applyNumberFormat="1" applyFont="1" applyFill="1" applyBorder="1" applyAlignment="1" applyProtection="1">
      <alignment horizontal="center" vertical="center" wrapText="1"/>
      <protection locked="0"/>
    </xf>
    <xf numFmtId="166" fontId="3" fillId="7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1" xfId="0" applyNumberFormat="1" applyFont="1" applyFill="1" applyBorder="1" applyAlignment="1" applyProtection="1">
      <alignment horizontal="center" vertical="center"/>
      <protection hidden="1"/>
    </xf>
    <xf numFmtId="164" fontId="8" fillId="0" borderId="4" xfId="0" applyNumberFormat="1" applyFont="1" applyFill="1" applyBorder="1" applyAlignment="1" applyProtection="1">
      <alignment horizontal="center" vertical="center"/>
      <protection hidden="1"/>
    </xf>
    <xf numFmtId="164" fontId="8" fillId="0" borderId="5" xfId="0" applyNumberFormat="1" applyFont="1" applyFill="1" applyBorder="1" applyAlignment="1" applyProtection="1">
      <alignment horizontal="center" vertical="center"/>
      <protection hidden="1"/>
    </xf>
    <xf numFmtId="164" fontId="8" fillId="0" borderId="6" xfId="0" applyNumberFormat="1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152733</xdr:colOff>
      <xdr:row>0</xdr:row>
      <xdr:rowOff>27214</xdr:rowOff>
    </xdr:from>
    <xdr:to>
      <xdr:col>4</xdr:col>
      <xdr:colOff>340179</xdr:colOff>
      <xdr:row>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758" y="27214"/>
          <a:ext cx="1787646" cy="315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3"/>
  <sheetViews>
    <sheetView tabSelected="1" view="pageBreakPreview" zoomScale="80" zoomScaleNormal="80" zoomScaleSheetLayoutView="80" workbookViewId="0">
      <selection activeCell="B8" sqref="B8:I8"/>
    </sheetView>
  </sheetViews>
  <sheetFormatPr defaultRowHeight="15" x14ac:dyDescent="0.25"/>
  <cols>
    <col min="1" max="1" width="22" style="6" customWidth="1"/>
    <col min="2" max="2" width="30.28515625" style="6" customWidth="1"/>
    <col min="3" max="3" width="25" style="57" customWidth="1"/>
    <col min="4" max="4" width="24" style="6" customWidth="1"/>
    <col min="5" max="5" width="16.5703125" style="6" customWidth="1"/>
    <col min="6" max="6" width="15" style="6" bestFit="1" customWidth="1"/>
    <col min="7" max="7" width="18.7109375" style="6" customWidth="1"/>
    <col min="8" max="8" width="15" style="6" bestFit="1" customWidth="1"/>
    <col min="9" max="9" width="18.28515625" style="6" customWidth="1"/>
    <col min="10" max="10" width="10.7109375" style="6" customWidth="1"/>
    <col min="11" max="11" width="12.140625" style="6" customWidth="1"/>
    <col min="12" max="12" width="11.7109375" style="6" customWidth="1"/>
    <col min="13" max="16384" width="9.140625" style="6"/>
  </cols>
  <sheetData>
    <row r="1" spans="1:9" s="4" customFormat="1" ht="27" customHeight="1" x14ac:dyDescent="0.2">
      <c r="A1" s="1"/>
      <c r="B1" s="2"/>
      <c r="C1" s="2"/>
      <c r="D1" s="2"/>
      <c r="E1" s="2"/>
      <c r="F1" s="2"/>
      <c r="G1" s="2"/>
      <c r="H1" s="2"/>
      <c r="I1" s="3"/>
    </row>
    <row r="2" spans="1:9" s="4" customFormat="1" x14ac:dyDescent="0.25">
      <c r="A2" s="81" t="s">
        <v>6</v>
      </c>
      <c r="B2" s="82"/>
      <c r="C2" s="82"/>
      <c r="D2" s="82"/>
      <c r="E2" s="82"/>
      <c r="F2" s="82"/>
      <c r="G2" s="82"/>
      <c r="H2" s="82"/>
      <c r="I2" s="83"/>
    </row>
    <row r="3" spans="1:9" s="4" customFormat="1" x14ac:dyDescent="0.25">
      <c r="A3" s="81" t="s">
        <v>7</v>
      </c>
      <c r="B3" s="82"/>
      <c r="C3" s="82"/>
      <c r="D3" s="82"/>
      <c r="E3" s="82"/>
      <c r="F3" s="82"/>
      <c r="G3" s="82"/>
      <c r="H3" s="82"/>
      <c r="I3" s="83"/>
    </row>
    <row r="4" spans="1:9" s="4" customFormat="1" x14ac:dyDescent="0.25">
      <c r="A4" s="81" t="s">
        <v>8</v>
      </c>
      <c r="B4" s="82"/>
      <c r="C4" s="82"/>
      <c r="D4" s="82"/>
      <c r="E4" s="82"/>
      <c r="F4" s="82"/>
      <c r="G4" s="82"/>
      <c r="H4" s="82"/>
      <c r="I4" s="83"/>
    </row>
    <row r="5" spans="1:9" s="4" customFormat="1" x14ac:dyDescent="0.2">
      <c r="A5" s="7" t="s">
        <v>9</v>
      </c>
      <c r="B5" s="84" t="s">
        <v>94</v>
      </c>
      <c r="C5" s="85"/>
      <c r="D5" s="85"/>
      <c r="E5" s="85"/>
      <c r="F5" s="85"/>
      <c r="G5" s="85"/>
      <c r="H5" s="85"/>
      <c r="I5" s="86"/>
    </row>
    <row r="6" spans="1:9" s="4" customFormat="1" x14ac:dyDescent="0.2">
      <c r="A6" s="7" t="s">
        <v>10</v>
      </c>
      <c r="B6" s="84" t="s">
        <v>94</v>
      </c>
      <c r="C6" s="85"/>
      <c r="D6" s="85"/>
      <c r="E6" s="85"/>
      <c r="F6" s="85"/>
      <c r="G6" s="85"/>
      <c r="H6" s="85"/>
      <c r="I6" s="86"/>
    </row>
    <row r="7" spans="1:9" s="4" customFormat="1" x14ac:dyDescent="0.2">
      <c r="A7" s="7" t="s">
        <v>11</v>
      </c>
      <c r="B7" s="74" t="s">
        <v>93</v>
      </c>
      <c r="C7" s="75"/>
      <c r="D7" s="75"/>
      <c r="E7" s="75"/>
      <c r="F7" s="75"/>
      <c r="G7" s="75"/>
      <c r="H7" s="75"/>
      <c r="I7" s="76"/>
    </row>
    <row r="8" spans="1:9" s="4" customFormat="1" x14ac:dyDescent="0.2">
      <c r="A8" s="7" t="s">
        <v>12</v>
      </c>
      <c r="B8" s="74" t="s">
        <v>92</v>
      </c>
      <c r="C8" s="75"/>
      <c r="D8" s="75"/>
      <c r="E8" s="75"/>
      <c r="F8" s="75"/>
      <c r="G8" s="75"/>
      <c r="H8" s="75"/>
      <c r="I8" s="76"/>
    </row>
    <row r="9" spans="1:9" s="4" customFormat="1" x14ac:dyDescent="0.2">
      <c r="A9" s="7" t="s">
        <v>13</v>
      </c>
      <c r="B9" s="74" t="s">
        <v>80</v>
      </c>
      <c r="C9" s="75"/>
      <c r="D9" s="75"/>
      <c r="E9" s="75"/>
      <c r="F9" s="75"/>
      <c r="G9" s="75"/>
      <c r="H9" s="75"/>
      <c r="I9" s="76"/>
    </row>
    <row r="10" spans="1:9" s="4" customFormat="1" x14ac:dyDescent="0.2">
      <c r="A10" s="7" t="s">
        <v>54</v>
      </c>
      <c r="B10" s="74" t="s">
        <v>77</v>
      </c>
      <c r="C10" s="75"/>
      <c r="D10" s="75"/>
      <c r="E10" s="75"/>
      <c r="F10" s="75"/>
      <c r="G10" s="75"/>
      <c r="H10" s="75"/>
      <c r="I10" s="72"/>
    </row>
    <row r="11" spans="1:9" s="8" customFormat="1" ht="15" customHeight="1" x14ac:dyDescent="0.2">
      <c r="A11" s="7" t="s">
        <v>14</v>
      </c>
      <c r="B11" s="77" t="s">
        <v>71</v>
      </c>
      <c r="C11" s="77"/>
      <c r="D11" s="77"/>
      <c r="E11" s="77"/>
      <c r="F11" s="77"/>
      <c r="G11" s="77"/>
      <c r="H11" s="77"/>
      <c r="I11" s="78"/>
    </row>
    <row r="12" spans="1:9" s="8" customFormat="1" ht="16.5" customHeight="1" x14ac:dyDescent="0.2">
      <c r="A12" s="9" t="s">
        <v>15</v>
      </c>
      <c r="B12" s="79" t="s">
        <v>69</v>
      </c>
      <c r="C12" s="79"/>
      <c r="D12" s="79"/>
      <c r="E12" s="79"/>
      <c r="F12" s="79"/>
      <c r="G12" s="79"/>
      <c r="H12" s="79"/>
      <c r="I12" s="80"/>
    </row>
    <row r="13" spans="1:9" s="4" customFormat="1" x14ac:dyDescent="0.2">
      <c r="A13" s="7" t="s">
        <v>16</v>
      </c>
      <c r="B13" s="77" t="s">
        <v>78</v>
      </c>
      <c r="C13" s="77"/>
      <c r="D13" s="77"/>
      <c r="E13" s="77"/>
      <c r="F13" s="77"/>
      <c r="G13" s="77"/>
      <c r="H13" s="77"/>
      <c r="I13" s="78"/>
    </row>
    <row r="14" spans="1:9" s="4" customFormat="1" x14ac:dyDescent="0.2">
      <c r="A14" s="7" t="s">
        <v>17</v>
      </c>
      <c r="B14" s="94" t="s">
        <v>79</v>
      </c>
      <c r="C14" s="95"/>
      <c r="D14" s="95"/>
      <c r="E14" s="95"/>
      <c r="F14" s="95"/>
      <c r="G14" s="95"/>
      <c r="H14" s="95"/>
      <c r="I14" s="96"/>
    </row>
    <row r="15" spans="1:9" s="4" customFormat="1" x14ac:dyDescent="0.2">
      <c r="A15" s="7" t="s">
        <v>18</v>
      </c>
      <c r="B15" s="97">
        <v>46182</v>
      </c>
      <c r="C15" s="77"/>
      <c r="D15" s="77"/>
      <c r="E15" s="77"/>
      <c r="F15" s="77"/>
      <c r="G15" s="77"/>
      <c r="H15" s="77"/>
      <c r="I15" s="78"/>
    </row>
    <row r="16" spans="1:9" x14ac:dyDescent="0.25">
      <c r="A16" s="10"/>
      <c r="B16" s="5"/>
      <c r="C16" s="5"/>
      <c r="D16" s="5"/>
      <c r="E16" s="5"/>
      <c r="F16" s="5"/>
      <c r="G16" s="5"/>
      <c r="H16" s="5"/>
      <c r="I16" s="11"/>
    </row>
    <row r="17" spans="1:17" x14ac:dyDescent="0.25">
      <c r="A17" s="98" t="s">
        <v>19</v>
      </c>
      <c r="B17" s="99"/>
      <c r="C17" s="99"/>
      <c r="D17" s="99"/>
      <c r="E17" s="99"/>
      <c r="F17" s="99"/>
      <c r="G17" s="99"/>
      <c r="H17" s="99"/>
      <c r="I17" s="100"/>
    </row>
    <row r="18" spans="1:17" ht="35.25" customHeight="1" x14ac:dyDescent="0.25">
      <c r="A18" s="12" t="s">
        <v>20</v>
      </c>
      <c r="B18" s="13" t="s">
        <v>21</v>
      </c>
      <c r="C18" s="13" t="s">
        <v>22</v>
      </c>
      <c r="D18" s="13" t="s">
        <v>23</v>
      </c>
      <c r="E18" s="14" t="s">
        <v>24</v>
      </c>
      <c r="F18" s="14" t="s">
        <v>25</v>
      </c>
      <c r="G18" s="14" t="s">
        <v>26</v>
      </c>
      <c r="H18" s="14" t="s">
        <v>27</v>
      </c>
      <c r="I18" s="15" t="s">
        <v>28</v>
      </c>
    </row>
    <row r="19" spans="1:17" x14ac:dyDescent="0.25">
      <c r="A19" s="63" t="s">
        <v>68</v>
      </c>
      <c r="B19" s="64">
        <v>97.87</v>
      </c>
      <c r="C19" s="65">
        <v>1</v>
      </c>
      <c r="D19" s="65">
        <v>1</v>
      </c>
      <c r="E19" s="65">
        <v>20.11</v>
      </c>
      <c r="F19" s="62">
        <v>50</v>
      </c>
      <c r="G19" s="62">
        <v>5</v>
      </c>
      <c r="H19" s="62">
        <v>25</v>
      </c>
      <c r="I19" s="31">
        <f>E19/F19*G19/H19*C19/D19*B19/100*1000</f>
        <v>78.726628000000019</v>
      </c>
    </row>
    <row r="20" spans="1:17" x14ac:dyDescent="0.25">
      <c r="A20" s="16"/>
      <c r="B20" s="17"/>
      <c r="C20" s="18"/>
      <c r="D20" s="18"/>
      <c r="E20" s="18"/>
      <c r="F20" s="19"/>
      <c r="G20" s="19"/>
      <c r="H20" s="19"/>
      <c r="I20" s="38"/>
      <c r="J20" s="27"/>
    </row>
    <row r="21" spans="1:17" ht="30.75" customHeight="1" x14ac:dyDescent="0.25">
      <c r="A21" s="20" t="s">
        <v>29</v>
      </c>
      <c r="B21" s="73" t="s">
        <v>30</v>
      </c>
      <c r="C21" s="21" t="s">
        <v>29</v>
      </c>
      <c r="D21" s="73" t="s">
        <v>57</v>
      </c>
      <c r="E21" s="21" t="s">
        <v>45</v>
      </c>
      <c r="F21" s="73" t="s">
        <v>52</v>
      </c>
      <c r="G21" s="40"/>
      <c r="H21" s="101" t="s">
        <v>44</v>
      </c>
      <c r="I21" s="102"/>
      <c r="J21" s="27"/>
    </row>
    <row r="22" spans="1:17" x14ac:dyDescent="0.25">
      <c r="A22" s="20">
        <v>1</v>
      </c>
      <c r="B22" s="62">
        <v>1108135</v>
      </c>
      <c r="C22" s="21" t="s">
        <v>31</v>
      </c>
      <c r="D22" s="62">
        <v>1101413</v>
      </c>
      <c r="E22" s="21" t="s">
        <v>46</v>
      </c>
      <c r="F22" s="65">
        <v>49.17</v>
      </c>
      <c r="G22" s="5"/>
      <c r="H22" s="24" t="s">
        <v>55</v>
      </c>
      <c r="I22" s="59">
        <v>50</v>
      </c>
      <c r="J22" s="27"/>
    </row>
    <row r="23" spans="1:17" x14ac:dyDescent="0.25">
      <c r="A23" s="20">
        <v>2</v>
      </c>
      <c r="B23" s="62">
        <v>1107954</v>
      </c>
      <c r="C23" s="21" t="s">
        <v>32</v>
      </c>
      <c r="D23" s="62">
        <v>1101192</v>
      </c>
      <c r="E23" s="21" t="s">
        <v>47</v>
      </c>
      <c r="F23" s="65">
        <v>50.56</v>
      </c>
      <c r="G23" s="5"/>
      <c r="H23" s="24" t="s">
        <v>53</v>
      </c>
      <c r="I23" s="60" t="s">
        <v>66</v>
      </c>
      <c r="J23" s="27"/>
    </row>
    <row r="24" spans="1:17" x14ac:dyDescent="0.25">
      <c r="A24" s="20">
        <v>3</v>
      </c>
      <c r="B24" s="62">
        <v>1107711</v>
      </c>
      <c r="C24" s="21" t="s">
        <v>33</v>
      </c>
      <c r="D24" s="62">
        <v>1096506</v>
      </c>
      <c r="E24" s="21" t="s">
        <v>48</v>
      </c>
      <c r="F24" s="65">
        <v>49.77</v>
      </c>
      <c r="G24" s="5"/>
      <c r="H24" s="24" t="s">
        <v>56</v>
      </c>
      <c r="I24" s="61">
        <v>6</v>
      </c>
      <c r="J24" s="27"/>
    </row>
    <row r="25" spans="1:17" x14ac:dyDescent="0.25">
      <c r="A25" s="20">
        <v>4</v>
      </c>
      <c r="B25" s="62">
        <v>1107762</v>
      </c>
      <c r="C25" s="21" t="s">
        <v>34</v>
      </c>
      <c r="D25" s="62">
        <v>1094608</v>
      </c>
      <c r="E25" s="21" t="s">
        <v>49</v>
      </c>
      <c r="F25" s="65"/>
      <c r="G25" s="5"/>
      <c r="H25" s="24" t="s">
        <v>59</v>
      </c>
      <c r="I25" s="60">
        <v>50</v>
      </c>
      <c r="J25" s="27"/>
    </row>
    <row r="26" spans="1:17" x14ac:dyDescent="0.25">
      <c r="A26" s="20">
        <v>5</v>
      </c>
      <c r="B26" s="62">
        <v>1109456</v>
      </c>
      <c r="C26" s="21" t="s">
        <v>35</v>
      </c>
      <c r="D26" s="62">
        <v>1092402</v>
      </c>
      <c r="E26" s="21" t="s">
        <v>50</v>
      </c>
      <c r="F26" s="65"/>
      <c r="G26" s="5"/>
      <c r="H26" s="103" t="s">
        <v>43</v>
      </c>
      <c r="I26" s="104"/>
      <c r="J26" s="27"/>
    </row>
    <row r="27" spans="1:17" ht="15" customHeight="1" x14ac:dyDescent="0.25">
      <c r="A27" s="22" t="s">
        <v>0</v>
      </c>
      <c r="B27" s="21">
        <f>AVERAGE(B22:B26)</f>
        <v>1108203.6000000001</v>
      </c>
      <c r="C27" s="21" t="s">
        <v>0</v>
      </c>
      <c r="D27" s="21">
        <f>AVERAGE(B22:B26,D22:D26)</f>
        <v>1102713.8999999999</v>
      </c>
      <c r="E27" s="21" t="s">
        <v>51</v>
      </c>
      <c r="F27" s="65"/>
      <c r="G27" s="5"/>
      <c r="H27" s="105" t="s">
        <v>70</v>
      </c>
      <c r="I27" s="106"/>
      <c r="J27" s="27"/>
    </row>
    <row r="28" spans="1:17" x14ac:dyDescent="0.25">
      <c r="A28" s="22" t="s">
        <v>36</v>
      </c>
      <c r="B28" s="23">
        <f>STDEV(B22:B26)</f>
        <v>719.9265934801964</v>
      </c>
      <c r="C28" s="24" t="s">
        <v>36</v>
      </c>
      <c r="D28" s="23">
        <f>STDEV(B22:B26,D22:D26)</f>
        <v>6388.7457202316155</v>
      </c>
      <c r="E28" s="21" t="s">
        <v>0</v>
      </c>
      <c r="F28" s="23">
        <f>AVERAGE(F22:F27)</f>
        <v>49.833333333333336</v>
      </c>
      <c r="G28" s="5"/>
      <c r="H28" s="107"/>
      <c r="I28" s="108"/>
      <c r="J28" s="27"/>
    </row>
    <row r="29" spans="1:17" ht="16.149999999999999" customHeight="1" x14ac:dyDescent="0.25">
      <c r="A29" s="22" t="s">
        <v>1</v>
      </c>
      <c r="B29" s="25">
        <f>B28*100/B27</f>
        <v>6.496338700579897E-2</v>
      </c>
      <c r="C29" s="24" t="s">
        <v>1</v>
      </c>
      <c r="D29" s="25">
        <f>D28*100/D27</f>
        <v>0.57936566504073417</v>
      </c>
      <c r="E29" s="24" t="s">
        <v>36</v>
      </c>
      <c r="F29" s="23">
        <f>STDEV(F22:F28)</f>
        <v>0.56922949872808104</v>
      </c>
      <c r="G29" s="5"/>
      <c r="H29" s="107"/>
      <c r="I29" s="108"/>
      <c r="J29" s="27"/>
    </row>
    <row r="30" spans="1:17" x14ac:dyDescent="0.25">
      <c r="A30" s="10"/>
      <c r="B30" s="42"/>
      <c r="C30" s="43"/>
      <c r="D30" s="5"/>
      <c r="E30" s="24" t="s">
        <v>1</v>
      </c>
      <c r="F30" s="25">
        <f>F29*100/F28</f>
        <v>1.1422665526316007</v>
      </c>
      <c r="G30" s="5"/>
      <c r="H30" s="107"/>
      <c r="I30" s="108"/>
      <c r="J30" s="27"/>
      <c r="K30" s="44"/>
      <c r="L30" s="42"/>
      <c r="M30" s="42"/>
      <c r="N30" s="42"/>
      <c r="O30" s="42"/>
      <c r="P30" s="42"/>
      <c r="Q30" s="42"/>
    </row>
    <row r="31" spans="1:17" ht="16.149999999999999" customHeight="1" x14ac:dyDescent="0.25">
      <c r="A31" s="26" t="s">
        <v>60</v>
      </c>
      <c r="B31" s="21" t="s">
        <v>61</v>
      </c>
      <c r="C31" s="5"/>
      <c r="D31" s="27"/>
      <c r="E31" s="27"/>
      <c r="F31" s="27"/>
      <c r="G31" s="27"/>
      <c r="H31" s="107"/>
      <c r="I31" s="108"/>
      <c r="J31" s="27"/>
    </row>
    <row r="32" spans="1:17" ht="16.149999999999999" customHeight="1" x14ac:dyDescent="0.25">
      <c r="A32" s="70">
        <v>100</v>
      </c>
      <c r="B32" s="70">
        <v>9.8000000000000007</v>
      </c>
      <c r="C32" s="5"/>
      <c r="D32" s="27"/>
      <c r="E32" s="27"/>
      <c r="F32" s="27"/>
      <c r="G32" s="27"/>
      <c r="H32" s="107"/>
      <c r="I32" s="108"/>
      <c r="J32" s="27"/>
    </row>
    <row r="33" spans="1:17" ht="16.149999999999999" customHeight="1" x14ac:dyDescent="0.25">
      <c r="A33" s="28"/>
      <c r="B33" s="29"/>
      <c r="C33" s="5"/>
      <c r="D33" s="27"/>
      <c r="E33" s="27"/>
      <c r="F33" s="27"/>
      <c r="G33" s="27"/>
      <c r="H33" s="107"/>
      <c r="I33" s="108"/>
      <c r="J33" s="27"/>
    </row>
    <row r="34" spans="1:17" ht="16.149999999999999" customHeight="1" x14ac:dyDescent="0.25">
      <c r="A34" s="26" t="s">
        <v>58</v>
      </c>
      <c r="B34" s="14" t="s">
        <v>62</v>
      </c>
      <c r="C34" s="14" t="s">
        <v>63</v>
      </c>
      <c r="D34" s="5"/>
      <c r="E34" s="5"/>
      <c r="F34" s="30"/>
      <c r="G34" s="30"/>
      <c r="H34" s="107"/>
      <c r="I34" s="108"/>
      <c r="J34" s="27"/>
    </row>
    <row r="35" spans="1:17" ht="16.149999999999999" customHeight="1" x14ac:dyDescent="0.25">
      <c r="A35" s="41">
        <f>I22</f>
        <v>50</v>
      </c>
      <c r="B35" s="69">
        <v>1</v>
      </c>
      <c r="C35" s="69">
        <v>1</v>
      </c>
      <c r="D35" s="5"/>
      <c r="E35" s="5"/>
      <c r="F35" s="30"/>
      <c r="G35" s="30"/>
      <c r="H35" s="107"/>
      <c r="I35" s="108"/>
      <c r="J35" s="27"/>
    </row>
    <row r="36" spans="1:17" ht="30" x14ac:dyDescent="0.25">
      <c r="A36" s="26" t="s">
        <v>64</v>
      </c>
      <c r="B36" s="42"/>
      <c r="C36" s="43"/>
      <c r="D36" s="5"/>
      <c r="E36" s="5"/>
      <c r="F36" s="5"/>
      <c r="G36" s="5"/>
      <c r="H36" s="109"/>
      <c r="I36" s="110"/>
      <c r="J36" s="5"/>
      <c r="K36" s="44"/>
      <c r="L36" s="42"/>
      <c r="M36" s="42"/>
      <c r="N36" s="42"/>
      <c r="O36" s="42"/>
      <c r="P36" s="42"/>
      <c r="Q36" s="42"/>
    </row>
    <row r="37" spans="1:17" x14ac:dyDescent="0.25">
      <c r="A37" s="62">
        <v>1</v>
      </c>
      <c r="B37" s="42"/>
      <c r="C37" s="43"/>
      <c r="D37" s="5"/>
      <c r="E37" s="5"/>
      <c r="F37" s="5"/>
      <c r="G37" s="5"/>
      <c r="H37" s="5"/>
      <c r="I37" s="5"/>
      <c r="J37" s="5"/>
      <c r="K37" s="44"/>
      <c r="L37" s="42"/>
      <c r="M37" s="42"/>
      <c r="N37" s="42"/>
      <c r="O37" s="42"/>
      <c r="P37" s="42"/>
      <c r="Q37" s="42"/>
    </row>
    <row r="38" spans="1:17" x14ac:dyDescent="0.25">
      <c r="A38" s="10"/>
      <c r="B38" s="42"/>
      <c r="C38" s="43"/>
      <c r="D38" s="5"/>
      <c r="E38" s="5"/>
      <c r="F38" s="5"/>
      <c r="G38" s="5"/>
      <c r="H38" s="5"/>
      <c r="I38" s="5"/>
      <c r="J38" s="87" t="s">
        <v>42</v>
      </c>
      <c r="K38" s="87"/>
      <c r="L38" s="42"/>
      <c r="M38" s="42"/>
      <c r="N38" s="42"/>
      <c r="O38" s="42"/>
      <c r="P38" s="42"/>
      <c r="Q38" s="42"/>
    </row>
    <row r="39" spans="1:17" ht="55.5" customHeight="1" x14ac:dyDescent="0.25">
      <c r="A39" s="45" t="s">
        <v>65</v>
      </c>
      <c r="B39" s="46" t="s">
        <v>37</v>
      </c>
      <c r="C39" s="46" t="s">
        <v>38</v>
      </c>
      <c r="D39" s="46" t="s">
        <v>0</v>
      </c>
      <c r="E39" s="46" t="s">
        <v>3</v>
      </c>
      <c r="F39" s="46" t="s">
        <v>4</v>
      </c>
      <c r="G39" s="47" t="s">
        <v>5</v>
      </c>
      <c r="H39" s="5"/>
      <c r="I39" s="11"/>
      <c r="J39" s="48" t="s">
        <v>2</v>
      </c>
      <c r="K39" s="49"/>
      <c r="L39" s="5"/>
      <c r="O39" s="42"/>
      <c r="P39" s="42"/>
      <c r="Q39" s="42"/>
    </row>
    <row r="40" spans="1:17" ht="15" customHeight="1" x14ac:dyDescent="0.25">
      <c r="A40" s="88" t="s">
        <v>67</v>
      </c>
      <c r="B40" s="58" t="s">
        <v>81</v>
      </c>
      <c r="C40" s="68">
        <f t="shared" ref="C40:C45" si="0">J40</f>
        <v>14.996084937889453</v>
      </c>
      <c r="D40" s="91">
        <f>AVERAGE(C40:C45)</f>
        <v>14.759120553554084</v>
      </c>
      <c r="E40" s="91">
        <f>MIN(C40:C45)</f>
        <v>12.701419313269414</v>
      </c>
      <c r="F40" s="91">
        <f>MAX(C40:C45)</f>
        <v>16.579857409503386</v>
      </c>
      <c r="G40" s="91">
        <f>STDEV(C40:C45)*100/D40</f>
        <v>13.212490048191556</v>
      </c>
      <c r="H40" s="5"/>
      <c r="I40" s="5"/>
      <c r="J40" s="50">
        <f>IF(B40="","",B40/$B$27*$E$19/$F$19*$G$19/$H$19*$C$35/$B$35*$A$35/$F$22*$B$19*$C$19/$D$19*$A$32/$B$32)</f>
        <v>14.996084937889453</v>
      </c>
      <c r="K40" s="50">
        <f>IF(J40="","",J40*$A$37/$A$35)</f>
        <v>0.29992169875778907</v>
      </c>
      <c r="L40" s="66"/>
      <c r="O40" s="42"/>
      <c r="P40" s="42"/>
      <c r="Q40" s="42"/>
    </row>
    <row r="41" spans="1:17" ht="15" customHeight="1" x14ac:dyDescent="0.25">
      <c r="A41" s="89"/>
      <c r="B41" s="58" t="s">
        <v>82</v>
      </c>
      <c r="C41" s="68">
        <f t="shared" si="0"/>
        <v>16.579857409503386</v>
      </c>
      <c r="D41" s="92"/>
      <c r="E41" s="92"/>
      <c r="F41" s="92"/>
      <c r="G41" s="92"/>
      <c r="H41" s="5"/>
      <c r="I41" s="5"/>
      <c r="J41" s="50">
        <f>IF(B41="","",B41/$B$27*$E$19/$F$19*$G$19/$H$19*$C$35/$B$35*$A$35/$F$23*$B$19*$C$19/$D$19*$A$32/$B$32)</f>
        <v>16.579857409503386</v>
      </c>
      <c r="K41" s="50">
        <f t="shared" ref="K41:K104" si="1">IF(J41="","",J41*$A$37/$A$35)</f>
        <v>0.33159714819006775</v>
      </c>
      <c r="L41" s="66"/>
      <c r="O41" s="42"/>
      <c r="P41" s="42"/>
      <c r="Q41" s="42"/>
    </row>
    <row r="42" spans="1:17" ht="15" customHeight="1" x14ac:dyDescent="0.25">
      <c r="A42" s="89"/>
      <c r="B42" s="58" t="s">
        <v>83</v>
      </c>
      <c r="C42" s="68">
        <f t="shared" si="0"/>
        <v>12.701419313269414</v>
      </c>
      <c r="D42" s="92"/>
      <c r="E42" s="92"/>
      <c r="F42" s="92"/>
      <c r="G42" s="92"/>
      <c r="H42" s="5"/>
      <c r="I42" s="5"/>
      <c r="J42" s="50">
        <f>IF(B42="","",B42/$B$27*$E$19/$F$19*$G$19/$H$19*$C$35/$B$35*$A$35/$F$24*$B$19*$C$19/$D$19*$A$32/$B$32)</f>
        <v>12.701419313269414</v>
      </c>
      <c r="K42" s="50">
        <f t="shared" si="1"/>
        <v>0.25402838626538826</v>
      </c>
      <c r="L42" s="66"/>
      <c r="O42" s="42"/>
      <c r="P42" s="42"/>
      <c r="Q42" s="42"/>
    </row>
    <row r="43" spans="1:17" ht="15" customHeight="1" x14ac:dyDescent="0.25">
      <c r="A43" s="89"/>
      <c r="B43" s="58"/>
      <c r="C43" s="68" t="str">
        <f t="shared" si="0"/>
        <v/>
      </c>
      <c r="D43" s="92"/>
      <c r="E43" s="92"/>
      <c r="F43" s="92"/>
      <c r="G43" s="92"/>
      <c r="H43" s="5"/>
      <c r="I43" s="5"/>
      <c r="J43" s="50" t="str">
        <f>IF(B43="","",B43/$B$27*$E$19/$F$19*$G$19/$H$19*$C$35/$B$35*$A$35/$F$25*$B$19*$C$19/$D$19*$A$32/$B$32)</f>
        <v/>
      </c>
      <c r="K43" s="50" t="str">
        <f t="shared" si="1"/>
        <v/>
      </c>
      <c r="L43" s="66"/>
      <c r="O43" s="42"/>
      <c r="P43" s="42"/>
      <c r="Q43" s="42"/>
    </row>
    <row r="44" spans="1:17" ht="15" customHeight="1" x14ac:dyDescent="0.25">
      <c r="A44" s="89"/>
      <c r="B44" s="58"/>
      <c r="C44" s="68" t="str">
        <f t="shared" si="0"/>
        <v/>
      </c>
      <c r="D44" s="92"/>
      <c r="E44" s="92"/>
      <c r="F44" s="92"/>
      <c r="G44" s="92"/>
      <c r="H44" s="5"/>
      <c r="I44" s="5"/>
      <c r="J44" s="50" t="str">
        <f>IF(B44="","",B44/$B$27*$E$19/$F$19*$G$19/$H$19*$C$35/$B$35*$A$35/$F$26*$B$19*$C$19/$D$19*$A$32/$B$32)</f>
        <v/>
      </c>
      <c r="K44" s="50" t="str">
        <f t="shared" si="1"/>
        <v/>
      </c>
      <c r="L44" s="66"/>
      <c r="O44" s="42"/>
      <c r="P44" s="42"/>
      <c r="Q44" s="42"/>
    </row>
    <row r="45" spans="1:17" ht="15" customHeight="1" x14ac:dyDescent="0.25">
      <c r="A45" s="90"/>
      <c r="B45" s="58"/>
      <c r="C45" s="68" t="str">
        <f t="shared" si="0"/>
        <v/>
      </c>
      <c r="D45" s="93"/>
      <c r="E45" s="93"/>
      <c r="F45" s="93"/>
      <c r="G45" s="93"/>
      <c r="H45" s="5"/>
      <c r="I45" s="5"/>
      <c r="J45" s="50" t="str">
        <f>IF(B45="","",B45/$B$27*$E$19/$F$19*$G$19/$H$19*$C$35/$B$35*$A$35/$F$27*$B$19*$C$19/$D$19*$A$32/$B$32)</f>
        <v/>
      </c>
      <c r="K45" s="50" t="str">
        <f t="shared" si="1"/>
        <v/>
      </c>
      <c r="L45" s="66"/>
      <c r="O45" s="42"/>
      <c r="P45" s="42"/>
      <c r="Q45" s="42"/>
    </row>
    <row r="46" spans="1:17" ht="15" customHeight="1" x14ac:dyDescent="0.25">
      <c r="A46" s="88" t="s">
        <v>73</v>
      </c>
      <c r="B46" s="58" t="s">
        <v>98</v>
      </c>
      <c r="C46" s="68">
        <f>IF(J46="","",J46+L46)</f>
        <v>50.539953798306222</v>
      </c>
      <c r="D46" s="91">
        <f>AVERAGE(C46:C51)</f>
        <v>49.547803096316592</v>
      </c>
      <c r="E46" s="91">
        <f>MIN(C46:C51)</f>
        <v>43.16740746631347</v>
      </c>
      <c r="F46" s="91">
        <f>MAX(C46:C51)</f>
        <v>54.936048024330091</v>
      </c>
      <c r="G46" s="111">
        <f>STDEV(C46:C51)*100/D46</f>
        <v>12.001988375668425</v>
      </c>
      <c r="H46" s="5"/>
      <c r="I46" s="5"/>
      <c r="J46" s="50">
        <f>IF(B46="","",B46/$B$27*$E$19/$F$19*$G$19/$H$19*$C$35/$B$35*$A$35/$F$22*$B$19*$C$19/$D$19*$A$32/$B$32)</f>
        <v>50.240032099548429</v>
      </c>
      <c r="K46" s="50">
        <f t="shared" si="1"/>
        <v>1.0048006419909685</v>
      </c>
      <c r="L46" s="67">
        <f>IF(K40="","",K40)</f>
        <v>0.29992169875778907</v>
      </c>
      <c r="N46" s="51"/>
      <c r="O46" s="42"/>
      <c r="P46" s="42"/>
      <c r="Q46" s="42"/>
    </row>
    <row r="47" spans="1:17" ht="15" customHeight="1" x14ac:dyDescent="0.25">
      <c r="A47" s="89"/>
      <c r="B47" s="58" t="s">
        <v>104</v>
      </c>
      <c r="C47" s="68">
        <f>IF(J47="","",J47+L47)</f>
        <v>54.936048024330091</v>
      </c>
      <c r="D47" s="92"/>
      <c r="E47" s="92"/>
      <c r="F47" s="92"/>
      <c r="G47" s="111"/>
      <c r="H47" s="5"/>
      <c r="I47" s="5"/>
      <c r="J47" s="50">
        <f>IF(B47="","",B47/$B$27*$E$19/$F$19*$G$19/$H$19*$C$35/$B$35*$A$35/$F$23*$B$19*$C$19/$D$19*$A$32/$B$32)</f>
        <v>54.604450876140021</v>
      </c>
      <c r="K47" s="50">
        <f t="shared" si="1"/>
        <v>1.0920890175228004</v>
      </c>
      <c r="L47" s="67">
        <f>IF(K41="","",K41)</f>
        <v>0.33159714819006775</v>
      </c>
    </row>
    <row r="48" spans="1:17" ht="15" customHeight="1" x14ac:dyDescent="0.25">
      <c r="A48" s="89"/>
      <c r="B48" s="58" t="s">
        <v>105</v>
      </c>
      <c r="C48" s="71">
        <f>IF(J48="","",J48+L48)</f>
        <v>43.16740746631347</v>
      </c>
      <c r="D48" s="92"/>
      <c r="E48" s="92"/>
      <c r="F48" s="92"/>
      <c r="G48" s="111"/>
      <c r="H48" s="5"/>
      <c r="I48" s="5"/>
      <c r="J48" s="50">
        <f>IF(B48="","",B48/$B$27*$E$19/$F$19*$G$19/$H$19*$C$35/$B$35*$A$35/$F$24*$B$19*$C$19/$D$19*$A$32/$B$32)</f>
        <v>42.913379080048081</v>
      </c>
      <c r="K48" s="50">
        <f t="shared" si="1"/>
        <v>0.85826758160096162</v>
      </c>
      <c r="L48" s="67">
        <f t="shared" ref="L48:L51" si="2">IF(K42="","",K42)</f>
        <v>0.25402838626538826</v>
      </c>
    </row>
    <row r="49" spans="1:12" ht="15" customHeight="1" x14ac:dyDescent="0.25">
      <c r="A49" s="89"/>
      <c r="B49" s="58"/>
      <c r="C49" s="68" t="str">
        <f t="shared" ref="C49:C112" si="3">IF(J49="","",J49+L49)</f>
        <v/>
      </c>
      <c r="D49" s="92"/>
      <c r="E49" s="92"/>
      <c r="F49" s="92"/>
      <c r="G49" s="111"/>
      <c r="H49" s="5"/>
      <c r="I49" s="5"/>
      <c r="J49" s="50" t="str">
        <f>IF(B49="","",B49/$B$27*$E$19/$F$19*$G$19/$H$19*$C$35/$B$35*$A$35/$F$25*$B$19*$C$19/$D$19*$A$32/$B$32)</f>
        <v/>
      </c>
      <c r="K49" s="50" t="str">
        <f t="shared" si="1"/>
        <v/>
      </c>
      <c r="L49" s="67" t="str">
        <f t="shared" si="2"/>
        <v/>
      </c>
    </row>
    <row r="50" spans="1:12" ht="15" customHeight="1" x14ac:dyDescent="0.25">
      <c r="A50" s="89"/>
      <c r="B50" s="58"/>
      <c r="C50" s="68" t="str">
        <f t="shared" si="3"/>
        <v/>
      </c>
      <c r="D50" s="92"/>
      <c r="E50" s="92"/>
      <c r="F50" s="92"/>
      <c r="G50" s="111"/>
      <c r="H50" s="5"/>
      <c r="I50" s="5"/>
      <c r="J50" s="50" t="str">
        <f>IF(B50="","",B50/$B$27*$E$19/$F$19*$G$19/$H$19*$C$35/$B$35*$A$35/$F$26*$B$19*$C$19/$D$19*$A$32/$B$32)</f>
        <v/>
      </c>
      <c r="K50" s="50" t="str">
        <f t="shared" si="1"/>
        <v/>
      </c>
      <c r="L50" s="67" t="str">
        <f t="shared" si="2"/>
        <v/>
      </c>
    </row>
    <row r="51" spans="1:12" ht="15" customHeight="1" x14ac:dyDescent="0.25">
      <c r="A51" s="90"/>
      <c r="B51" s="58"/>
      <c r="C51" s="71" t="str">
        <f t="shared" si="3"/>
        <v/>
      </c>
      <c r="D51" s="93"/>
      <c r="E51" s="93"/>
      <c r="F51" s="93"/>
      <c r="G51" s="111"/>
      <c r="H51" s="5"/>
      <c r="I51" s="5"/>
      <c r="J51" s="50" t="str">
        <f>IF(B51="","",B51/$B$27*$E$19/$F$19*$G$19/$H$19*$C$35/$B$35*$A$35/$F$27*$B$19*$C$19/$D$19*$A$32/$B$32)</f>
        <v/>
      </c>
      <c r="K51" s="50" t="str">
        <f t="shared" si="1"/>
        <v/>
      </c>
      <c r="L51" s="67" t="str">
        <f t="shared" si="2"/>
        <v/>
      </c>
    </row>
    <row r="52" spans="1:12" ht="15" customHeight="1" x14ac:dyDescent="0.25">
      <c r="A52" s="88" t="s">
        <v>99</v>
      </c>
      <c r="B52" s="58" t="s">
        <v>95</v>
      </c>
      <c r="C52" s="68">
        <f t="shared" si="3"/>
        <v>75.980342562897988</v>
      </c>
      <c r="D52" s="91">
        <f>AVERAGE(C52:C57)</f>
        <v>72.930474241803395</v>
      </c>
      <c r="E52" s="91">
        <f>MIN(C52:C57)</f>
        <v>62.583069786005801</v>
      </c>
      <c r="F52" s="91">
        <f>MAX(C52:C57)</f>
        <v>80.228010376506404</v>
      </c>
      <c r="G52" s="112">
        <f>STDEV(C52:C57)*100/D52</f>
        <v>12.627584018298572</v>
      </c>
      <c r="H52" s="5"/>
      <c r="I52" s="11"/>
      <c r="J52" s="50">
        <f>IF(B52="","",B52/$B$27*$E$19/$F$19*$G$19/$H$19*$C$35/$B$35*$A$35/$F$22*$B$19*$C$19/$D$19*$A$32/$B$32)</f>
        <v>74.675620222149234</v>
      </c>
      <c r="K52" s="50">
        <f t="shared" si="1"/>
        <v>1.4935124044429846</v>
      </c>
      <c r="L52" s="67">
        <f t="shared" ref="L52:L115" si="4">IF(K46="","",K46+L46)</f>
        <v>1.3047223407487576</v>
      </c>
    </row>
    <row r="53" spans="1:12" ht="15" customHeight="1" x14ac:dyDescent="0.25">
      <c r="A53" s="89"/>
      <c r="B53" s="58" t="s">
        <v>96</v>
      </c>
      <c r="C53" s="68">
        <f t="shared" si="3"/>
        <v>80.228010376506404</v>
      </c>
      <c r="D53" s="92"/>
      <c r="E53" s="92"/>
      <c r="F53" s="92"/>
      <c r="G53" s="113"/>
      <c r="H53" s="5"/>
      <c r="I53" s="11"/>
      <c r="J53" s="50">
        <f>IF(B53="","",B53/$B$27*$E$19/$F$19*$G$19/$H$19*$C$35/$B$35*$A$35/$F$23*$B$19*$C$19/$D$19*$A$32/$B$32)</f>
        <v>78.804324210793538</v>
      </c>
      <c r="K53" s="50">
        <f t="shared" si="1"/>
        <v>1.5760864842158708</v>
      </c>
      <c r="L53" s="67">
        <f t="shared" si="4"/>
        <v>1.4236861657128681</v>
      </c>
    </row>
    <row r="54" spans="1:12" ht="15" customHeight="1" x14ac:dyDescent="0.25">
      <c r="A54" s="89"/>
      <c r="B54" s="58" t="s">
        <v>97</v>
      </c>
      <c r="C54" s="71">
        <f t="shared" si="3"/>
        <v>62.583069786005801</v>
      </c>
      <c r="D54" s="92"/>
      <c r="E54" s="92"/>
      <c r="F54" s="92"/>
      <c r="G54" s="113"/>
      <c r="H54" s="5"/>
      <c r="I54" s="11"/>
      <c r="J54" s="50">
        <f>IF(B54="","",B54/$B$27*$E$19/$F$19*$G$19/$H$19*$C$35/$B$35*$A$35/$F$24*$B$19*$C$19/$D$19*$A$32/$B$32)</f>
        <v>61.470773818139449</v>
      </c>
      <c r="K54" s="50">
        <f>IF(J54="","",J54*$A$37/$A$35)</f>
        <v>1.2294154763627889</v>
      </c>
      <c r="L54" s="67">
        <f t="shared" si="4"/>
        <v>1.1122959678663498</v>
      </c>
    </row>
    <row r="55" spans="1:12" ht="15" customHeight="1" x14ac:dyDescent="0.25">
      <c r="A55" s="89"/>
      <c r="B55" s="58"/>
      <c r="C55" s="68" t="str">
        <f t="shared" si="3"/>
        <v/>
      </c>
      <c r="D55" s="92"/>
      <c r="E55" s="92"/>
      <c r="F55" s="92"/>
      <c r="G55" s="113"/>
      <c r="H55" s="5"/>
      <c r="I55" s="11"/>
      <c r="J55" s="50" t="str">
        <f>IF(B55="","",B55/$B$27*$E$19/$F$19*$G$19/$H$19*$C$35/$B$35*$A$35/$F$25*$B$19*$C$19/$D$19*$A$32/$B$32)</f>
        <v/>
      </c>
      <c r="K55" s="50" t="str">
        <f t="shared" si="1"/>
        <v/>
      </c>
      <c r="L55" s="67" t="str">
        <f t="shared" si="4"/>
        <v/>
      </c>
    </row>
    <row r="56" spans="1:12" ht="15" customHeight="1" x14ac:dyDescent="0.25">
      <c r="A56" s="89"/>
      <c r="B56" s="58"/>
      <c r="C56" s="68" t="str">
        <f t="shared" si="3"/>
        <v/>
      </c>
      <c r="D56" s="92"/>
      <c r="E56" s="92"/>
      <c r="F56" s="92"/>
      <c r="G56" s="113"/>
      <c r="H56" s="5"/>
      <c r="I56" s="11"/>
      <c r="J56" s="50" t="str">
        <f>IF(B56="","",B56/$B$27*$E$19/$F$19*$G$19/$H$19*$C$35/$B$35*$A$35/$F$26*$B$19*$C$19/$D$19*$A$32/$B$32)</f>
        <v/>
      </c>
      <c r="K56" s="50" t="str">
        <f t="shared" si="1"/>
        <v/>
      </c>
      <c r="L56" s="67" t="str">
        <f t="shared" si="4"/>
        <v/>
      </c>
    </row>
    <row r="57" spans="1:12" ht="15" customHeight="1" x14ac:dyDescent="0.25">
      <c r="A57" s="90"/>
      <c r="B57" s="58"/>
      <c r="C57" s="71" t="str">
        <f t="shared" si="3"/>
        <v/>
      </c>
      <c r="D57" s="93"/>
      <c r="E57" s="93"/>
      <c r="F57" s="93"/>
      <c r="G57" s="114"/>
      <c r="H57" s="5"/>
      <c r="I57" s="11"/>
      <c r="J57" s="50" t="str">
        <f>IF(B57="","",B57/$B$27*$E$19/$F$19*$G$19/$H$19*$C$35/$B$35*$A$35/$F$27*$B$19*$C$19/$D$19*$A$32/$B$32)</f>
        <v/>
      </c>
      <c r="K57" s="50" t="str">
        <f t="shared" si="1"/>
        <v/>
      </c>
      <c r="L57" s="67" t="str">
        <f t="shared" si="4"/>
        <v/>
      </c>
    </row>
    <row r="58" spans="1:12" ht="15" customHeight="1" x14ac:dyDescent="0.25">
      <c r="A58" s="88" t="s">
        <v>72</v>
      </c>
      <c r="B58" s="58" t="s">
        <v>91</v>
      </c>
      <c r="C58" s="68">
        <f t="shared" si="3"/>
        <v>92.913915070051701</v>
      </c>
      <c r="D58" s="91">
        <f>AVERAGE(C58:C63)</f>
        <v>89.631505698765707</v>
      </c>
      <c r="E58" s="91">
        <f>MIN(C58:C63)</f>
        <v>80.564192905766859</v>
      </c>
      <c r="F58" s="91">
        <f>MAX(C58:C63)</f>
        <v>95.41640912047859</v>
      </c>
      <c r="G58" s="112">
        <f>STDEV(C58:C63)*100/D58</f>
        <v>8.8714199389357962</v>
      </c>
      <c r="H58" s="5"/>
      <c r="I58" s="11"/>
      <c r="J58" s="50">
        <f t="shared" ref="J58" si="5">IF(B58="","",B58/$B$27*$E$19/$F$19*$G$19/$H$19*$C$35/$B$35*$A$35/$F$22*$B$19*$C$19/$D$19*$A$32/$B$32)</f>
        <v>90.115680324859952</v>
      </c>
      <c r="K58" s="50">
        <f t="shared" si="1"/>
        <v>1.802313606497199</v>
      </c>
      <c r="L58" s="67">
        <f t="shared" si="4"/>
        <v>2.798234745191742</v>
      </c>
    </row>
    <row r="59" spans="1:12" ht="15" customHeight="1" x14ac:dyDescent="0.25">
      <c r="A59" s="89"/>
      <c r="B59" s="58" t="s">
        <v>102</v>
      </c>
      <c r="C59" s="68">
        <f t="shared" si="3"/>
        <v>95.41640912047859</v>
      </c>
      <c r="D59" s="92"/>
      <c r="E59" s="92"/>
      <c r="F59" s="92"/>
      <c r="G59" s="113"/>
      <c r="H59" s="5"/>
      <c r="I59" s="11"/>
      <c r="J59" s="50">
        <f t="shared" ref="J59" si="6">IF(B59="","",B59/$B$27*$E$19/$F$19*$G$19/$H$19*$C$35/$B$35*$A$35/$F$23*$B$19*$C$19/$D$19*$A$32/$B$32)</f>
        <v>92.416636470549847</v>
      </c>
      <c r="K59" s="50">
        <f t="shared" si="1"/>
        <v>1.848332729410997</v>
      </c>
      <c r="L59" s="67">
        <f t="shared" si="4"/>
        <v>2.9997726499287389</v>
      </c>
    </row>
    <row r="60" spans="1:12" ht="15" customHeight="1" x14ac:dyDescent="0.25">
      <c r="A60" s="89"/>
      <c r="B60" s="58" t="s">
        <v>103</v>
      </c>
      <c r="C60" s="71">
        <f t="shared" si="3"/>
        <v>80.564192905766859</v>
      </c>
      <c r="D60" s="92"/>
      <c r="E60" s="92"/>
      <c r="F60" s="92"/>
      <c r="G60" s="113"/>
      <c r="H60" s="5"/>
      <c r="I60" s="11"/>
      <c r="J60" s="50">
        <f t="shared" ref="J60" si="7">IF(B60="","",B60/$B$27*$E$19/$F$19*$G$19/$H$19*$C$35/$B$35*$A$35/$F$24*$B$19*$C$19/$D$19*$A$32/$B$32)</f>
        <v>78.222481461537726</v>
      </c>
      <c r="K60" s="50">
        <f t="shared" si="1"/>
        <v>1.5644496292307546</v>
      </c>
      <c r="L60" s="67">
        <f t="shared" si="4"/>
        <v>2.3417114442291389</v>
      </c>
    </row>
    <row r="61" spans="1:12" ht="15" customHeight="1" x14ac:dyDescent="0.25">
      <c r="A61" s="89"/>
      <c r="B61" s="58"/>
      <c r="C61" s="68" t="str">
        <f t="shared" si="3"/>
        <v/>
      </c>
      <c r="D61" s="92"/>
      <c r="E61" s="92"/>
      <c r="F61" s="92"/>
      <c r="G61" s="113"/>
      <c r="H61" s="5"/>
      <c r="I61" s="11"/>
      <c r="J61" s="50" t="str">
        <f t="shared" ref="J61" si="8">IF(B61="","",B61/$B$27*$E$19/$F$19*$G$19/$H$19*$C$35/$B$35*$A$35/$F$25*$B$19*$C$19/$D$19*$A$32/$B$32)</f>
        <v/>
      </c>
      <c r="K61" s="50" t="str">
        <f t="shared" si="1"/>
        <v/>
      </c>
      <c r="L61" s="67" t="str">
        <f t="shared" si="4"/>
        <v/>
      </c>
    </row>
    <row r="62" spans="1:12" ht="15" customHeight="1" x14ac:dyDescent="0.25">
      <c r="A62" s="89"/>
      <c r="B62" s="58"/>
      <c r="C62" s="68" t="str">
        <f t="shared" si="3"/>
        <v/>
      </c>
      <c r="D62" s="92"/>
      <c r="E62" s="92"/>
      <c r="F62" s="92"/>
      <c r="G62" s="113"/>
      <c r="H62" s="5"/>
      <c r="I62" s="11"/>
      <c r="J62" s="50" t="str">
        <f t="shared" ref="J62" si="9">IF(B62="","",B62/$B$27*$E$19/$F$19*$G$19/$H$19*$C$35/$B$35*$A$35/$F$26*$B$19*$C$19/$D$19*$A$32/$B$32)</f>
        <v/>
      </c>
      <c r="K62" s="50" t="str">
        <f t="shared" si="1"/>
        <v/>
      </c>
      <c r="L62" s="67" t="str">
        <f t="shared" si="4"/>
        <v/>
      </c>
    </row>
    <row r="63" spans="1:12" ht="15" customHeight="1" x14ac:dyDescent="0.25">
      <c r="A63" s="90"/>
      <c r="B63" s="58"/>
      <c r="C63" s="71" t="str">
        <f t="shared" si="3"/>
        <v/>
      </c>
      <c r="D63" s="93"/>
      <c r="E63" s="93"/>
      <c r="F63" s="93"/>
      <c r="G63" s="114"/>
      <c r="H63" s="5"/>
      <c r="I63" s="11"/>
      <c r="J63" s="50" t="str">
        <f t="shared" ref="J63" si="10">IF(B63="","",B63/$B$27*$E$19/$F$19*$G$19/$H$19*$C$35/$B$35*$A$35/$F$27*$B$19*$C$19/$D$19*$A$32/$B$32)</f>
        <v/>
      </c>
      <c r="K63" s="50" t="str">
        <f t="shared" si="1"/>
        <v/>
      </c>
      <c r="L63" s="67" t="str">
        <f t="shared" si="4"/>
        <v/>
      </c>
    </row>
    <row r="64" spans="1:12" ht="15" customHeight="1" x14ac:dyDescent="0.25">
      <c r="A64" s="88" t="s">
        <v>74</v>
      </c>
      <c r="B64" s="58" t="s">
        <v>89</v>
      </c>
      <c r="C64" s="68">
        <f t="shared" si="3"/>
        <v>96.427040497956298</v>
      </c>
      <c r="D64" s="91">
        <f>AVERAGE(C64:C69)</f>
        <v>93.722152747199644</v>
      </c>
      <c r="E64" s="91">
        <f>MIN(C64:C69)</f>
        <v>86.271126866815578</v>
      </c>
      <c r="F64" s="91">
        <f>MAX(C64:C69)</f>
        <v>98.468290876827083</v>
      </c>
      <c r="G64" s="112">
        <f>STDEV(C64:C69)*100/D64</f>
        <v>6.9705978838922036</v>
      </c>
      <c r="H64" s="5"/>
      <c r="I64" s="11"/>
      <c r="J64" s="50">
        <f t="shared" ref="J64" si="11">IF(B64="","",B64/$B$27*$E$19/$F$19*$G$19/$H$19*$C$35/$B$35*$A$35/$F$22*$B$19*$C$19/$D$19*$A$32/$B$32)</f>
        <v>91.826492146267356</v>
      </c>
      <c r="K64" s="50">
        <f t="shared" si="1"/>
        <v>1.8365298429253472</v>
      </c>
      <c r="L64" s="67">
        <f t="shared" si="4"/>
        <v>4.6005483516889409</v>
      </c>
    </row>
    <row r="65" spans="1:12" ht="15" customHeight="1" x14ac:dyDescent="0.25">
      <c r="A65" s="89"/>
      <c r="B65" s="58" t="s">
        <v>101</v>
      </c>
      <c r="C65" s="68">
        <f t="shared" si="3"/>
        <v>98.468290876827083</v>
      </c>
      <c r="D65" s="92"/>
      <c r="E65" s="92"/>
      <c r="F65" s="92"/>
      <c r="G65" s="113"/>
      <c r="H65" s="5"/>
      <c r="I65" s="11"/>
      <c r="J65" s="50">
        <f t="shared" ref="J65" si="12">IF(B65="","",B65/$B$27*$E$19/$F$19*$G$19/$H$19*$C$35/$B$35*$A$35/$F$23*$B$19*$C$19/$D$19*$A$32/$B$32)</f>
        <v>93.620185497487341</v>
      </c>
      <c r="K65" s="50">
        <f t="shared" si="1"/>
        <v>1.8724037099497468</v>
      </c>
      <c r="L65" s="67">
        <f t="shared" si="4"/>
        <v>4.848105379339736</v>
      </c>
    </row>
    <row r="66" spans="1:12" ht="15" customHeight="1" x14ac:dyDescent="0.25">
      <c r="A66" s="89"/>
      <c r="B66" s="58" t="s">
        <v>90</v>
      </c>
      <c r="C66" s="71">
        <f t="shared" si="3"/>
        <v>86.271126866815578</v>
      </c>
      <c r="D66" s="92"/>
      <c r="E66" s="92"/>
      <c r="F66" s="92"/>
      <c r="G66" s="113"/>
      <c r="H66" s="5"/>
      <c r="I66" s="11"/>
      <c r="J66" s="50">
        <f t="shared" ref="J66" si="13">IF(B66="","",B66/$B$27*$E$19/$F$19*$G$19/$H$19*$C$35/$B$35*$A$35/$F$24*$B$19*$C$19/$D$19*$A$32/$B$32)</f>
        <v>82.36496579335568</v>
      </c>
      <c r="K66" s="50">
        <f t="shared" si="1"/>
        <v>1.6472993158671136</v>
      </c>
      <c r="L66" s="67">
        <f t="shared" si="4"/>
        <v>3.9061610734598933</v>
      </c>
    </row>
    <row r="67" spans="1:12" ht="15" customHeight="1" x14ac:dyDescent="0.25">
      <c r="A67" s="89"/>
      <c r="B67" s="58"/>
      <c r="C67" s="68" t="str">
        <f t="shared" si="3"/>
        <v/>
      </c>
      <c r="D67" s="92"/>
      <c r="E67" s="92"/>
      <c r="F67" s="92"/>
      <c r="G67" s="113"/>
      <c r="H67" s="5"/>
      <c r="I67" s="11"/>
      <c r="J67" s="50" t="str">
        <f t="shared" ref="J67" si="14">IF(B67="","",B67/$B$27*$E$19/$F$19*$G$19/$H$19*$C$35/$B$35*$A$35/$F$25*$B$19*$C$19/$D$19*$A$32/$B$32)</f>
        <v/>
      </c>
      <c r="K67" s="50" t="str">
        <f t="shared" si="1"/>
        <v/>
      </c>
      <c r="L67" s="67" t="str">
        <f t="shared" si="4"/>
        <v/>
      </c>
    </row>
    <row r="68" spans="1:12" ht="15" customHeight="1" x14ac:dyDescent="0.25">
      <c r="A68" s="89"/>
      <c r="B68" s="58"/>
      <c r="C68" s="68" t="str">
        <f t="shared" si="3"/>
        <v/>
      </c>
      <c r="D68" s="92"/>
      <c r="E68" s="92"/>
      <c r="F68" s="92"/>
      <c r="G68" s="113"/>
      <c r="H68" s="5"/>
      <c r="I68" s="11"/>
      <c r="J68" s="50" t="str">
        <f t="shared" ref="J68" si="15">IF(B68="","",B68/$B$27*$E$19/$F$19*$G$19/$H$19*$C$35/$B$35*$A$35/$F$26*$B$19*$C$19/$D$19*$A$32/$B$32)</f>
        <v/>
      </c>
      <c r="K68" s="50" t="str">
        <f t="shared" si="1"/>
        <v/>
      </c>
      <c r="L68" s="67" t="str">
        <f t="shared" si="4"/>
        <v/>
      </c>
    </row>
    <row r="69" spans="1:12" ht="15" customHeight="1" x14ac:dyDescent="0.25">
      <c r="A69" s="90"/>
      <c r="B69" s="58"/>
      <c r="C69" s="71" t="str">
        <f t="shared" si="3"/>
        <v/>
      </c>
      <c r="D69" s="93"/>
      <c r="E69" s="93"/>
      <c r="F69" s="93"/>
      <c r="G69" s="114"/>
      <c r="H69" s="5"/>
      <c r="I69" s="11"/>
      <c r="J69" s="50" t="str">
        <f t="shared" ref="J69" si="16">IF(B69="","",B69/$B$27*$E$19/$F$19*$G$19/$H$19*$C$35/$B$35*$A$35/$F$27*$B$19*$C$19/$D$19*$A$32/$B$32)</f>
        <v/>
      </c>
      <c r="K69" s="50" t="str">
        <f t="shared" si="1"/>
        <v/>
      </c>
      <c r="L69" s="67" t="str">
        <f t="shared" si="4"/>
        <v/>
      </c>
    </row>
    <row r="70" spans="1:12" ht="15" customHeight="1" x14ac:dyDescent="0.25">
      <c r="A70" s="88" t="s">
        <v>75</v>
      </c>
      <c r="B70" s="58" t="s">
        <v>86</v>
      </c>
      <c r="C70" s="68">
        <f t="shared" si="3"/>
        <v>96.927000908947505</v>
      </c>
      <c r="D70" s="91">
        <f>AVERAGE(C70:C75)</f>
        <v>96.013358391027097</v>
      </c>
      <c r="E70" s="91">
        <f>MIN(C70:C75)</f>
        <v>91.476128608052392</v>
      </c>
      <c r="F70" s="91">
        <f>MAX(C70:C75)</f>
        <v>99.636945656081423</v>
      </c>
      <c r="G70" s="112">
        <f>STDEV(C70:C75)*100/D70</f>
        <v>4.3289972126527667</v>
      </c>
      <c r="H70" s="5"/>
      <c r="I70" s="11"/>
      <c r="J70" s="50">
        <f t="shared" ref="J70" si="17">IF(B70="","",B70/$B$27*$E$19/$F$19*$G$19/$H$19*$C$35/$B$35*$A$35/$F$22*$B$19*$C$19/$D$19*$A$32/$B$32)</f>
        <v>90.489922714333218</v>
      </c>
      <c r="K70" s="50">
        <f t="shared" si="1"/>
        <v>1.8097984542866643</v>
      </c>
      <c r="L70" s="67">
        <f t="shared" si="4"/>
        <v>6.4370781946142879</v>
      </c>
    </row>
    <row r="71" spans="1:12" ht="15" customHeight="1" x14ac:dyDescent="0.25">
      <c r="A71" s="89"/>
      <c r="B71" s="58" t="s">
        <v>87</v>
      </c>
      <c r="C71" s="68">
        <f t="shared" si="3"/>
        <v>99.636945656081423</v>
      </c>
      <c r="D71" s="92"/>
      <c r="E71" s="92"/>
      <c r="F71" s="92"/>
      <c r="G71" s="113"/>
      <c r="H71" s="5"/>
      <c r="I71" s="11"/>
      <c r="J71" s="50">
        <f t="shared" ref="J71" si="18">IF(B71="","",B71/$B$27*$E$19/$F$19*$G$19/$H$19*$C$35/$B$35*$A$35/$F$23*$B$19*$C$19/$D$19*$A$32/$B$32)</f>
        <v>92.916436566791944</v>
      </c>
      <c r="K71" s="50">
        <f t="shared" si="1"/>
        <v>1.858328731335839</v>
      </c>
      <c r="L71" s="67">
        <f t="shared" si="4"/>
        <v>6.7205090892894823</v>
      </c>
    </row>
    <row r="72" spans="1:12" ht="15" customHeight="1" x14ac:dyDescent="0.25">
      <c r="A72" s="89"/>
      <c r="B72" s="58" t="s">
        <v>88</v>
      </c>
      <c r="C72" s="71">
        <f t="shared" si="3"/>
        <v>91.476128608052392</v>
      </c>
      <c r="D72" s="92"/>
      <c r="E72" s="92"/>
      <c r="F72" s="92"/>
      <c r="G72" s="113"/>
      <c r="H72" s="5"/>
      <c r="I72" s="11"/>
      <c r="J72" s="50">
        <f t="shared" ref="J72" si="19">IF(B72="","",B72/$B$27*$E$19/$F$19*$G$19/$H$19*$C$35/$B$35*$A$35/$F$24*$B$19*$C$19/$D$19*$A$32/$B$32)</f>
        <v>85.922668218725377</v>
      </c>
      <c r="K72" s="50">
        <f t="shared" si="1"/>
        <v>1.7184533643745075</v>
      </c>
      <c r="L72" s="67">
        <f t="shared" si="4"/>
        <v>5.5534603893270074</v>
      </c>
    </row>
    <row r="73" spans="1:12" ht="15" customHeight="1" x14ac:dyDescent="0.25">
      <c r="A73" s="89"/>
      <c r="B73" s="58"/>
      <c r="C73" s="68" t="str">
        <f t="shared" si="3"/>
        <v/>
      </c>
      <c r="D73" s="92"/>
      <c r="E73" s="92"/>
      <c r="F73" s="92"/>
      <c r="G73" s="113"/>
      <c r="H73" s="5"/>
      <c r="I73" s="11"/>
      <c r="J73" s="50" t="str">
        <f t="shared" ref="J73" si="20">IF(B73="","",B73/$B$27*$E$19/$F$19*$G$19/$H$19*$C$35/$B$35*$A$35/$F$25*$B$19*$C$19/$D$19*$A$32/$B$32)</f>
        <v/>
      </c>
      <c r="K73" s="50" t="str">
        <f t="shared" si="1"/>
        <v/>
      </c>
      <c r="L73" s="67" t="str">
        <f t="shared" si="4"/>
        <v/>
      </c>
    </row>
    <row r="74" spans="1:12" ht="15" customHeight="1" x14ac:dyDescent="0.25">
      <c r="A74" s="89"/>
      <c r="B74" s="58"/>
      <c r="C74" s="68" t="str">
        <f t="shared" si="3"/>
        <v/>
      </c>
      <c r="D74" s="92"/>
      <c r="E74" s="92"/>
      <c r="F74" s="92"/>
      <c r="G74" s="113"/>
      <c r="H74" s="5"/>
      <c r="I74" s="11"/>
      <c r="J74" s="50" t="str">
        <f t="shared" ref="J74" si="21">IF(B74="","",B74/$B$27*$E$19/$F$19*$G$19/$H$19*$C$35/$B$35*$A$35/$F$26*$B$19*$C$19/$D$19*$A$32/$B$32)</f>
        <v/>
      </c>
      <c r="K74" s="50" t="str">
        <f t="shared" si="1"/>
        <v/>
      </c>
      <c r="L74" s="67" t="str">
        <f t="shared" si="4"/>
        <v/>
      </c>
    </row>
    <row r="75" spans="1:12" ht="15" customHeight="1" x14ac:dyDescent="0.25">
      <c r="A75" s="90"/>
      <c r="B75" s="58"/>
      <c r="C75" s="71" t="str">
        <f t="shared" si="3"/>
        <v/>
      </c>
      <c r="D75" s="93"/>
      <c r="E75" s="93"/>
      <c r="F75" s="93"/>
      <c r="G75" s="114"/>
      <c r="H75" s="5"/>
      <c r="I75" s="11"/>
      <c r="J75" s="50" t="str">
        <f t="shared" ref="J75" si="22">IF(B75="","",B75/$B$27*$E$19/$F$19*$G$19/$H$19*$C$35/$B$35*$A$35/$F$27*$B$19*$C$19/$D$19*$A$32/$B$32)</f>
        <v/>
      </c>
      <c r="K75" s="50" t="str">
        <f t="shared" si="1"/>
        <v/>
      </c>
      <c r="L75" s="67" t="str">
        <f t="shared" si="4"/>
        <v/>
      </c>
    </row>
    <row r="76" spans="1:12" ht="15" customHeight="1" x14ac:dyDescent="0.25">
      <c r="A76" s="88" t="s">
        <v>76</v>
      </c>
      <c r="B76" s="58" t="s">
        <v>84</v>
      </c>
      <c r="C76" s="68">
        <f t="shared" si="3"/>
        <v>96.486406235751474</v>
      </c>
      <c r="D76" s="91">
        <f>AVERAGE(C76:C81)</f>
        <v>97.973081282226246</v>
      </c>
      <c r="E76" s="91">
        <f>MIN(C76:C81)</f>
        <v>96.486406235751474</v>
      </c>
      <c r="F76" s="91">
        <f>MAX(C76:C81)</f>
        <v>99.189541413302265</v>
      </c>
      <c r="G76" s="112">
        <f>STDEV(C76:C81)*100/D76</f>
        <v>1.4000546899187871</v>
      </c>
      <c r="H76" s="5"/>
      <c r="I76" s="11"/>
      <c r="J76" s="50">
        <f t="shared" ref="J76" si="23">IF(B76="","",B76/$B$27*$E$19/$F$19*$G$19/$H$19*$C$35/$B$35*$A$35/$F$22*$B$19*$C$19/$D$19*$A$32/$B$32)</f>
        <v>88.239529586850523</v>
      </c>
      <c r="K76" s="50">
        <f t="shared" si="1"/>
        <v>1.7647905917370104</v>
      </c>
      <c r="L76" s="67">
        <f t="shared" si="4"/>
        <v>8.2468766489009528</v>
      </c>
    </row>
    <row r="77" spans="1:12" ht="15" customHeight="1" x14ac:dyDescent="0.25">
      <c r="A77" s="89"/>
      <c r="B77" s="58" t="s">
        <v>85</v>
      </c>
      <c r="C77" s="68">
        <f t="shared" si="3"/>
        <v>99.189541413302265</v>
      </c>
      <c r="D77" s="92"/>
      <c r="E77" s="92"/>
      <c r="F77" s="92"/>
      <c r="G77" s="113"/>
      <c r="H77" s="5"/>
      <c r="I77" s="11"/>
      <c r="J77" s="50">
        <f t="shared" ref="J77" si="24">IF(B77="","",B77/$B$27*$E$19/$F$19*$G$19/$H$19*$C$35/$B$35*$A$35/$F$23*$B$19*$C$19/$D$19*$A$32/$B$32)</f>
        <v>90.610703592676941</v>
      </c>
      <c r="K77" s="50">
        <f t="shared" si="1"/>
        <v>1.8122140718535389</v>
      </c>
      <c r="L77" s="67">
        <f t="shared" si="4"/>
        <v>8.5788378206253206</v>
      </c>
    </row>
    <row r="78" spans="1:12" ht="15" customHeight="1" x14ac:dyDescent="0.25">
      <c r="A78" s="89"/>
      <c r="B78" s="58" t="s">
        <v>100</v>
      </c>
      <c r="C78" s="71">
        <f t="shared" si="3"/>
        <v>98.243296197625</v>
      </c>
      <c r="D78" s="92"/>
      <c r="E78" s="92"/>
      <c r="F78" s="92"/>
      <c r="G78" s="113"/>
      <c r="H78" s="5"/>
      <c r="I78" s="11"/>
      <c r="J78" s="50">
        <f t="shared" ref="J78" si="25">IF(B78="","",B78/$B$27*$E$19/$F$19*$G$19/$H$19*$C$35/$B$35*$A$35/$F$24*$B$19*$C$19/$D$19*$A$32/$B$32)</f>
        <v>90.971382443923488</v>
      </c>
      <c r="K78" s="50">
        <f t="shared" si="1"/>
        <v>1.8194276488784697</v>
      </c>
      <c r="L78" s="67">
        <f t="shared" si="4"/>
        <v>7.271913753701515</v>
      </c>
    </row>
    <row r="79" spans="1:12" ht="15" customHeight="1" x14ac:dyDescent="0.25">
      <c r="A79" s="89"/>
      <c r="B79" s="58"/>
      <c r="C79" s="68" t="str">
        <f t="shared" si="3"/>
        <v/>
      </c>
      <c r="D79" s="92"/>
      <c r="E79" s="92"/>
      <c r="F79" s="92"/>
      <c r="G79" s="113"/>
      <c r="H79" s="5"/>
      <c r="I79" s="11"/>
      <c r="J79" s="50" t="str">
        <f t="shared" ref="J79" si="26">IF(B79="","",B79/$B$27*$E$19/$F$19*$G$19/$H$19*$C$35/$B$35*$A$35/$F$25*$B$19*$C$19/$D$19*$A$32/$B$32)</f>
        <v/>
      </c>
      <c r="K79" s="50" t="str">
        <f t="shared" si="1"/>
        <v/>
      </c>
      <c r="L79" s="67" t="str">
        <f t="shared" si="4"/>
        <v/>
      </c>
    </row>
    <row r="80" spans="1:12" ht="15" customHeight="1" x14ac:dyDescent="0.25">
      <c r="A80" s="89"/>
      <c r="B80" s="58"/>
      <c r="C80" s="68" t="str">
        <f t="shared" si="3"/>
        <v/>
      </c>
      <c r="D80" s="92"/>
      <c r="E80" s="92"/>
      <c r="F80" s="92"/>
      <c r="G80" s="113"/>
      <c r="H80" s="5"/>
      <c r="I80" s="11"/>
      <c r="J80" s="50" t="str">
        <f t="shared" ref="J80" si="27">IF(B80="","",B80/$B$27*$E$19/$F$19*$G$19/$H$19*$C$35/$B$35*$A$35/$F$26*$B$19*$C$19/$D$19*$A$32/$B$32)</f>
        <v/>
      </c>
      <c r="K80" s="50" t="str">
        <f t="shared" si="1"/>
        <v/>
      </c>
      <c r="L80" s="67" t="str">
        <f t="shared" si="4"/>
        <v/>
      </c>
    </row>
    <row r="81" spans="1:12" ht="15" customHeight="1" x14ac:dyDescent="0.25">
      <c r="A81" s="90"/>
      <c r="B81" s="58"/>
      <c r="C81" s="71" t="str">
        <f t="shared" si="3"/>
        <v/>
      </c>
      <c r="D81" s="93"/>
      <c r="E81" s="93"/>
      <c r="F81" s="93"/>
      <c r="G81" s="114"/>
      <c r="H81" s="5"/>
      <c r="I81" s="11"/>
      <c r="J81" s="50" t="str">
        <f t="shared" ref="J81" si="28">IF(B81="","",B81/$B$27*$E$19/$F$19*$G$19/$H$19*$C$35/$B$35*$A$35/$F$27*$B$19*$C$19/$D$19*$A$32/$B$32)</f>
        <v/>
      </c>
      <c r="K81" s="50" t="str">
        <f t="shared" si="1"/>
        <v/>
      </c>
      <c r="L81" s="67" t="str">
        <f t="shared" si="4"/>
        <v/>
      </c>
    </row>
    <row r="82" spans="1:12" ht="15" customHeight="1" x14ac:dyDescent="0.25">
      <c r="A82" s="88"/>
      <c r="B82" s="58"/>
      <c r="C82" s="68" t="str">
        <f t="shared" si="3"/>
        <v/>
      </c>
      <c r="D82" s="91" t="e">
        <f>AVERAGE(C82:C87)</f>
        <v>#DIV/0!</v>
      </c>
      <c r="E82" s="91">
        <f>MIN(C82:C87)</f>
        <v>0</v>
      </c>
      <c r="F82" s="91">
        <f>MAX(C82:C87)</f>
        <v>0</v>
      </c>
      <c r="G82" s="112" t="e">
        <f>STDEV(C82:C87)*100/D82</f>
        <v>#DIV/0!</v>
      </c>
      <c r="H82" s="5"/>
      <c r="I82" s="11"/>
      <c r="J82" s="50" t="str">
        <f t="shared" ref="J82" si="29">IF(B82="","",B82/$B$27*$E$19/$F$19*$G$19/$H$19*$C$35/$B$35*$A$35/$F$22*$B$19*$C$19/$D$19*$A$32/$B$32)</f>
        <v/>
      </c>
      <c r="K82" s="50" t="str">
        <f t="shared" si="1"/>
        <v/>
      </c>
      <c r="L82" s="67">
        <f t="shared" si="4"/>
        <v>10.011667240637964</v>
      </c>
    </row>
    <row r="83" spans="1:12" ht="15" customHeight="1" x14ac:dyDescent="0.25">
      <c r="A83" s="89"/>
      <c r="B83" s="58"/>
      <c r="C83" s="68" t="str">
        <f t="shared" si="3"/>
        <v/>
      </c>
      <c r="D83" s="92"/>
      <c r="E83" s="92"/>
      <c r="F83" s="92"/>
      <c r="G83" s="113"/>
      <c r="H83" s="5"/>
      <c r="I83" s="11"/>
      <c r="J83" s="50" t="str">
        <f t="shared" ref="J83" si="30">IF(B83="","",B83/$B$27*$E$19/$F$19*$G$19/$H$19*$C$35/$B$35*$A$35/$F$23*$B$19*$C$19/$D$19*$A$32/$B$32)</f>
        <v/>
      </c>
      <c r="K83" s="50" t="str">
        <f t="shared" si="1"/>
        <v/>
      </c>
      <c r="L83" s="67">
        <f t="shared" si="4"/>
        <v>10.39105189247886</v>
      </c>
    </row>
    <row r="84" spans="1:12" ht="15" customHeight="1" x14ac:dyDescent="0.25">
      <c r="A84" s="89"/>
      <c r="B84" s="58"/>
      <c r="C84" s="71" t="str">
        <f t="shared" si="3"/>
        <v/>
      </c>
      <c r="D84" s="92"/>
      <c r="E84" s="92"/>
      <c r="F84" s="92"/>
      <c r="G84" s="113"/>
      <c r="H84" s="5"/>
      <c r="I84" s="11"/>
      <c r="J84" s="50" t="str">
        <f t="shared" ref="J84" si="31">IF(B84="","",B84/$B$27*$E$19/$F$19*$G$19/$H$19*$C$35/$B$35*$A$35/$F$24*$B$19*$C$19/$D$19*$A$32/$B$32)</f>
        <v/>
      </c>
      <c r="K84" s="50" t="str">
        <f t="shared" si="1"/>
        <v/>
      </c>
      <c r="L84" s="67">
        <f t="shared" si="4"/>
        <v>9.0913414025799852</v>
      </c>
    </row>
    <row r="85" spans="1:12" ht="15" customHeight="1" x14ac:dyDescent="0.25">
      <c r="A85" s="89"/>
      <c r="B85" s="58"/>
      <c r="C85" s="68" t="str">
        <f t="shared" si="3"/>
        <v/>
      </c>
      <c r="D85" s="92"/>
      <c r="E85" s="92"/>
      <c r="F85" s="92"/>
      <c r="G85" s="113"/>
      <c r="H85" s="5"/>
      <c r="I85" s="11"/>
      <c r="J85" s="50" t="str">
        <f t="shared" ref="J85" si="32">IF(B85="","",B85/$B$27*$E$19/$F$19*$G$19/$H$19*$C$35/$B$35*$A$35/$F$25*$B$19*$C$19/$D$19*$A$32/$B$32)</f>
        <v/>
      </c>
      <c r="K85" s="50" t="str">
        <f t="shared" si="1"/>
        <v/>
      </c>
      <c r="L85" s="67" t="str">
        <f t="shared" si="4"/>
        <v/>
      </c>
    </row>
    <row r="86" spans="1:12" ht="15" customHeight="1" x14ac:dyDescent="0.25">
      <c r="A86" s="89"/>
      <c r="B86" s="58"/>
      <c r="C86" s="68" t="str">
        <f t="shared" si="3"/>
        <v/>
      </c>
      <c r="D86" s="92"/>
      <c r="E86" s="92"/>
      <c r="F86" s="92"/>
      <c r="G86" s="113"/>
      <c r="H86" s="5"/>
      <c r="I86" s="11"/>
      <c r="J86" s="50" t="str">
        <f t="shared" ref="J86" si="33">IF(B86="","",B86/$B$27*$E$19/$F$19*$G$19/$H$19*$C$35/$B$35*$A$35/$F$26*$B$19*$C$19/$D$19*$A$32/$B$32)</f>
        <v/>
      </c>
      <c r="K86" s="50" t="str">
        <f t="shared" si="1"/>
        <v/>
      </c>
      <c r="L86" s="67" t="str">
        <f t="shared" si="4"/>
        <v/>
      </c>
    </row>
    <row r="87" spans="1:12" ht="15" customHeight="1" x14ac:dyDescent="0.25">
      <c r="A87" s="90"/>
      <c r="B87" s="58"/>
      <c r="C87" s="71" t="str">
        <f t="shared" si="3"/>
        <v/>
      </c>
      <c r="D87" s="93"/>
      <c r="E87" s="93"/>
      <c r="F87" s="93"/>
      <c r="G87" s="114"/>
      <c r="H87" s="5"/>
      <c r="I87" s="11"/>
      <c r="J87" s="50" t="str">
        <f t="shared" ref="J87" si="34">IF(B87="","",B87/$B$27*$E$19/$F$19*$G$19/$H$19*$C$35/$B$35*$A$35/$F$27*$B$19*$C$19/$D$19*$A$32/$B$32)</f>
        <v/>
      </c>
      <c r="K87" s="50" t="str">
        <f t="shared" si="1"/>
        <v/>
      </c>
      <c r="L87" s="67" t="str">
        <f t="shared" si="4"/>
        <v/>
      </c>
    </row>
    <row r="88" spans="1:12" ht="15" customHeight="1" x14ac:dyDescent="0.25">
      <c r="A88" s="88"/>
      <c r="B88" s="58"/>
      <c r="C88" s="68" t="str">
        <f t="shared" si="3"/>
        <v/>
      </c>
      <c r="D88" s="91" t="e">
        <f>AVERAGE(C88:C93)</f>
        <v>#DIV/0!</v>
      </c>
      <c r="E88" s="91">
        <f>MIN(C88:C93)</f>
        <v>0</v>
      </c>
      <c r="F88" s="91">
        <f>MAX(C88:C93)</f>
        <v>0</v>
      </c>
      <c r="G88" s="112" t="e">
        <f>STDEV(C88:C93)*100/D88</f>
        <v>#DIV/0!</v>
      </c>
      <c r="H88" s="5"/>
      <c r="I88" s="11"/>
      <c r="J88" s="50" t="str">
        <f t="shared" ref="J88" si="35">IF(B88="","",B88/$B$27*$E$19/$F$19*$G$19/$H$19*$C$35/$B$35*$A$35/$F$22*$B$19*$C$19/$D$19*$A$32/$B$32)</f>
        <v/>
      </c>
      <c r="K88" s="50" t="str">
        <f t="shared" si="1"/>
        <v/>
      </c>
      <c r="L88" s="67" t="str">
        <f t="shared" si="4"/>
        <v/>
      </c>
    </row>
    <row r="89" spans="1:12" ht="15" customHeight="1" x14ac:dyDescent="0.25">
      <c r="A89" s="89"/>
      <c r="B89" s="58"/>
      <c r="C89" s="68" t="str">
        <f t="shared" si="3"/>
        <v/>
      </c>
      <c r="D89" s="92"/>
      <c r="E89" s="92"/>
      <c r="F89" s="92"/>
      <c r="G89" s="113"/>
      <c r="H89" s="5"/>
      <c r="I89" s="11"/>
      <c r="J89" s="50" t="str">
        <f t="shared" ref="J89" si="36">IF(B89="","",B89/$B$27*$E$19/$F$19*$G$19/$H$19*$C$35/$B$35*$A$35/$F$23*$B$19*$C$19/$D$19*$A$32/$B$32)</f>
        <v/>
      </c>
      <c r="K89" s="50" t="str">
        <f t="shared" si="1"/>
        <v/>
      </c>
      <c r="L89" s="67" t="str">
        <f t="shared" si="4"/>
        <v/>
      </c>
    </row>
    <row r="90" spans="1:12" ht="15" customHeight="1" x14ac:dyDescent="0.25">
      <c r="A90" s="89"/>
      <c r="B90" s="58"/>
      <c r="C90" s="71" t="str">
        <f t="shared" si="3"/>
        <v/>
      </c>
      <c r="D90" s="92"/>
      <c r="E90" s="92"/>
      <c r="F90" s="92"/>
      <c r="G90" s="113"/>
      <c r="H90" s="5"/>
      <c r="I90" s="11"/>
      <c r="J90" s="50" t="str">
        <f t="shared" ref="J90" si="37">IF(B90="","",B90/$B$27*$E$19/$F$19*$G$19/$H$19*$C$35/$B$35*$A$35/$F$24*$B$19*$C$19/$D$19*$A$32/$B$32)</f>
        <v/>
      </c>
      <c r="K90" s="50" t="str">
        <f t="shared" si="1"/>
        <v/>
      </c>
      <c r="L90" s="67" t="str">
        <f t="shared" si="4"/>
        <v/>
      </c>
    </row>
    <row r="91" spans="1:12" ht="15" customHeight="1" x14ac:dyDescent="0.25">
      <c r="A91" s="89"/>
      <c r="B91" s="58"/>
      <c r="C91" s="68" t="str">
        <f t="shared" si="3"/>
        <v/>
      </c>
      <c r="D91" s="92"/>
      <c r="E91" s="92"/>
      <c r="F91" s="92"/>
      <c r="G91" s="113"/>
      <c r="H91" s="5"/>
      <c r="I91" s="11"/>
      <c r="J91" s="50" t="str">
        <f t="shared" ref="J91" si="38">IF(B91="","",B91/$B$27*$E$19/$F$19*$G$19/$H$19*$C$35/$B$35*$A$35/$F$25*$B$19*$C$19/$D$19*$A$32/$B$32)</f>
        <v/>
      </c>
      <c r="K91" s="50" t="str">
        <f t="shared" si="1"/>
        <v/>
      </c>
      <c r="L91" s="67" t="str">
        <f t="shared" si="4"/>
        <v/>
      </c>
    </row>
    <row r="92" spans="1:12" ht="15" customHeight="1" x14ac:dyDescent="0.25">
      <c r="A92" s="89"/>
      <c r="B92" s="58"/>
      <c r="C92" s="68" t="str">
        <f t="shared" si="3"/>
        <v/>
      </c>
      <c r="D92" s="92"/>
      <c r="E92" s="92"/>
      <c r="F92" s="92"/>
      <c r="G92" s="113"/>
      <c r="H92" s="5"/>
      <c r="I92" s="11"/>
      <c r="J92" s="50" t="str">
        <f t="shared" ref="J92" si="39">IF(B92="","",B92/$B$27*$E$19/$F$19*$G$19/$H$19*$C$35/$B$35*$A$35/$F$26*$B$19*$C$19/$D$19*$A$32/$B$32)</f>
        <v/>
      </c>
      <c r="K92" s="50" t="str">
        <f t="shared" si="1"/>
        <v/>
      </c>
      <c r="L92" s="67" t="str">
        <f t="shared" si="4"/>
        <v/>
      </c>
    </row>
    <row r="93" spans="1:12" ht="15" customHeight="1" x14ac:dyDescent="0.25">
      <c r="A93" s="90"/>
      <c r="B93" s="58"/>
      <c r="C93" s="71" t="str">
        <f t="shared" si="3"/>
        <v/>
      </c>
      <c r="D93" s="93"/>
      <c r="E93" s="93"/>
      <c r="F93" s="93"/>
      <c r="G93" s="114"/>
      <c r="H93" s="5"/>
      <c r="I93" s="11"/>
      <c r="J93" s="50" t="str">
        <f t="shared" ref="J93" si="40">IF(B93="","",B93/$B$27*$E$19/$F$19*$G$19/$H$19*$C$35/$B$35*$A$35/$F$27*$B$19*$C$19/$D$19*$A$32/$B$32)</f>
        <v/>
      </c>
      <c r="K93" s="50" t="str">
        <f t="shared" si="1"/>
        <v/>
      </c>
      <c r="L93" s="67" t="str">
        <f t="shared" si="4"/>
        <v/>
      </c>
    </row>
    <row r="94" spans="1:12" ht="15" customHeight="1" x14ac:dyDescent="0.25">
      <c r="A94" s="88"/>
      <c r="B94" s="58"/>
      <c r="C94" s="68" t="str">
        <f t="shared" si="3"/>
        <v/>
      </c>
      <c r="D94" s="91" t="e">
        <f>AVERAGE(C94:C99)</f>
        <v>#DIV/0!</v>
      </c>
      <c r="E94" s="91">
        <f>MIN(C94:C99)</f>
        <v>0</v>
      </c>
      <c r="F94" s="91">
        <f>MAX(C94:C99)</f>
        <v>0</v>
      </c>
      <c r="G94" s="112" t="e">
        <f>STDEV(C94:C99)*100/D94</f>
        <v>#DIV/0!</v>
      </c>
      <c r="H94" s="5"/>
      <c r="I94" s="11"/>
      <c r="J94" s="50" t="str">
        <f t="shared" ref="J94" si="41">IF(B94="","",B94/$B$27*$E$19/$F$19*$G$19/$H$19*$C$35/$B$35*$A$35/$F$22*$B$19*$C$19/$D$19*$A$32/$B$32)</f>
        <v/>
      </c>
      <c r="K94" s="50" t="str">
        <f t="shared" si="1"/>
        <v/>
      </c>
      <c r="L94" s="67" t="str">
        <f t="shared" si="4"/>
        <v/>
      </c>
    </row>
    <row r="95" spans="1:12" ht="15" customHeight="1" x14ac:dyDescent="0.25">
      <c r="A95" s="89"/>
      <c r="B95" s="58"/>
      <c r="C95" s="68" t="str">
        <f t="shared" si="3"/>
        <v/>
      </c>
      <c r="D95" s="92"/>
      <c r="E95" s="92"/>
      <c r="F95" s="92"/>
      <c r="G95" s="113"/>
      <c r="H95" s="5"/>
      <c r="I95" s="11"/>
      <c r="J95" s="50" t="str">
        <f t="shared" ref="J95" si="42">IF(B95="","",B95/$B$27*$E$19/$F$19*$G$19/$H$19*$C$35/$B$35*$A$35/$F$23*$B$19*$C$19/$D$19*$A$32/$B$32)</f>
        <v/>
      </c>
      <c r="K95" s="50" t="str">
        <f t="shared" si="1"/>
        <v/>
      </c>
      <c r="L95" s="67" t="str">
        <f t="shared" si="4"/>
        <v/>
      </c>
    </row>
    <row r="96" spans="1:12" ht="15" customHeight="1" x14ac:dyDescent="0.25">
      <c r="A96" s="89"/>
      <c r="B96" s="58"/>
      <c r="C96" s="71" t="str">
        <f t="shared" si="3"/>
        <v/>
      </c>
      <c r="D96" s="92"/>
      <c r="E96" s="92"/>
      <c r="F96" s="92"/>
      <c r="G96" s="113"/>
      <c r="H96" s="5"/>
      <c r="I96" s="11"/>
      <c r="J96" s="50" t="str">
        <f t="shared" ref="J96" si="43">IF(B96="","",B96/$B$27*$E$19/$F$19*$G$19/$H$19*$C$35/$B$35*$A$35/$F$24*$B$19*$C$19/$D$19*$A$32/$B$32)</f>
        <v/>
      </c>
      <c r="K96" s="50" t="str">
        <f t="shared" si="1"/>
        <v/>
      </c>
      <c r="L96" s="67" t="str">
        <f t="shared" si="4"/>
        <v/>
      </c>
    </row>
    <row r="97" spans="1:12" ht="15" customHeight="1" x14ac:dyDescent="0.25">
      <c r="A97" s="89"/>
      <c r="B97" s="58"/>
      <c r="C97" s="68" t="str">
        <f t="shared" si="3"/>
        <v/>
      </c>
      <c r="D97" s="92"/>
      <c r="E97" s="92"/>
      <c r="F97" s="92"/>
      <c r="G97" s="113"/>
      <c r="H97" s="5"/>
      <c r="I97" s="11"/>
      <c r="J97" s="50" t="str">
        <f t="shared" ref="J97" si="44">IF(B97="","",B97/$B$27*$E$19/$F$19*$G$19/$H$19*$C$35/$B$35*$A$35/$F$25*$B$19*$C$19/$D$19*$A$32/$B$32)</f>
        <v/>
      </c>
      <c r="K97" s="50" t="str">
        <f t="shared" si="1"/>
        <v/>
      </c>
      <c r="L97" s="67" t="str">
        <f t="shared" si="4"/>
        <v/>
      </c>
    </row>
    <row r="98" spans="1:12" ht="15" customHeight="1" x14ac:dyDescent="0.25">
      <c r="A98" s="89"/>
      <c r="B98" s="58"/>
      <c r="C98" s="68" t="str">
        <f t="shared" si="3"/>
        <v/>
      </c>
      <c r="D98" s="92"/>
      <c r="E98" s="92"/>
      <c r="F98" s="92"/>
      <c r="G98" s="113"/>
      <c r="H98" s="5"/>
      <c r="I98" s="11"/>
      <c r="J98" s="50" t="str">
        <f t="shared" ref="J98" si="45">IF(B98="","",B98/$B$27*$E$19/$F$19*$G$19/$H$19*$C$35/$B$35*$A$35/$F$26*$B$19*$C$19/$D$19*$A$32/$B$32)</f>
        <v/>
      </c>
      <c r="K98" s="50" t="str">
        <f t="shared" si="1"/>
        <v/>
      </c>
      <c r="L98" s="67" t="str">
        <f t="shared" si="4"/>
        <v/>
      </c>
    </row>
    <row r="99" spans="1:12" ht="15" customHeight="1" x14ac:dyDescent="0.25">
      <c r="A99" s="90"/>
      <c r="B99" s="58"/>
      <c r="C99" s="71" t="str">
        <f t="shared" si="3"/>
        <v/>
      </c>
      <c r="D99" s="93"/>
      <c r="E99" s="93"/>
      <c r="F99" s="93"/>
      <c r="G99" s="114"/>
      <c r="H99" s="5"/>
      <c r="I99" s="11"/>
      <c r="J99" s="50" t="str">
        <f t="shared" ref="J99" si="46">IF(B99="","",B99/$B$27*$E$19/$F$19*$G$19/$H$19*$C$35/$B$35*$A$35/$F$27*$B$19*$C$19/$D$19*$A$32/$B$32)</f>
        <v/>
      </c>
      <c r="K99" s="50" t="str">
        <f t="shared" si="1"/>
        <v/>
      </c>
      <c r="L99" s="67" t="str">
        <f t="shared" si="4"/>
        <v/>
      </c>
    </row>
    <row r="100" spans="1:12" ht="15" customHeight="1" x14ac:dyDescent="0.25">
      <c r="A100" s="88"/>
      <c r="B100" s="58"/>
      <c r="C100" s="68" t="str">
        <f t="shared" si="3"/>
        <v/>
      </c>
      <c r="D100" s="91" t="e">
        <f>AVERAGE(C100:C105)</f>
        <v>#DIV/0!</v>
      </c>
      <c r="E100" s="91">
        <f>MIN(C100:C105)</f>
        <v>0</v>
      </c>
      <c r="F100" s="91">
        <f>MAX(C100:C105)</f>
        <v>0</v>
      </c>
      <c r="G100" s="111" t="e">
        <f>STDEV(C100:C105)*100/D100</f>
        <v>#DIV/0!</v>
      </c>
      <c r="H100" s="5"/>
      <c r="I100" s="11"/>
      <c r="J100" s="50" t="str">
        <f t="shared" ref="J100" si="47">IF(B100="","",B100/$B$27*$E$19/$F$19*$G$19/$H$19*$C$35/$B$35*$A$35/$F$22*$B$19*$C$19/$D$19*$A$32/$B$32)</f>
        <v/>
      </c>
      <c r="K100" s="50" t="str">
        <f t="shared" si="1"/>
        <v/>
      </c>
      <c r="L100" s="67" t="str">
        <f t="shared" si="4"/>
        <v/>
      </c>
    </row>
    <row r="101" spans="1:12" ht="15" customHeight="1" x14ac:dyDescent="0.25">
      <c r="A101" s="89"/>
      <c r="B101" s="58"/>
      <c r="C101" s="68" t="str">
        <f t="shared" si="3"/>
        <v/>
      </c>
      <c r="D101" s="92"/>
      <c r="E101" s="92"/>
      <c r="F101" s="92"/>
      <c r="G101" s="111"/>
      <c r="H101" s="5"/>
      <c r="I101" s="11"/>
      <c r="J101" s="50" t="str">
        <f t="shared" ref="J101" si="48">IF(B101="","",B101/$B$27*$E$19/$F$19*$G$19/$H$19*$C$35/$B$35*$A$35/$F$23*$B$19*$C$19/$D$19*$A$32/$B$32)</f>
        <v/>
      </c>
      <c r="K101" s="50" t="str">
        <f t="shared" si="1"/>
        <v/>
      </c>
      <c r="L101" s="67" t="str">
        <f t="shared" si="4"/>
        <v/>
      </c>
    </row>
    <row r="102" spans="1:12" ht="15" customHeight="1" x14ac:dyDescent="0.25">
      <c r="A102" s="89"/>
      <c r="B102" s="58"/>
      <c r="C102" s="71" t="str">
        <f t="shared" si="3"/>
        <v/>
      </c>
      <c r="D102" s="92"/>
      <c r="E102" s="92"/>
      <c r="F102" s="92"/>
      <c r="G102" s="111"/>
      <c r="H102" s="5"/>
      <c r="I102" s="11"/>
      <c r="J102" s="50" t="str">
        <f t="shared" ref="J102" si="49">IF(B102="","",B102/$B$27*$E$19/$F$19*$G$19/$H$19*$C$35/$B$35*$A$35/$F$24*$B$19*$C$19/$D$19*$A$32/$B$32)</f>
        <v/>
      </c>
      <c r="K102" s="50" t="str">
        <f t="shared" si="1"/>
        <v/>
      </c>
      <c r="L102" s="67" t="str">
        <f t="shared" si="4"/>
        <v/>
      </c>
    </row>
    <row r="103" spans="1:12" ht="15" customHeight="1" x14ac:dyDescent="0.25">
      <c r="A103" s="89"/>
      <c r="B103" s="58"/>
      <c r="C103" s="68" t="str">
        <f t="shared" si="3"/>
        <v/>
      </c>
      <c r="D103" s="92"/>
      <c r="E103" s="92"/>
      <c r="F103" s="92"/>
      <c r="G103" s="111"/>
      <c r="H103" s="5"/>
      <c r="I103" s="11"/>
      <c r="J103" s="50" t="str">
        <f t="shared" ref="J103" si="50">IF(B103="","",B103/$B$27*$E$19/$F$19*$G$19/$H$19*$C$35/$B$35*$A$35/$F$25*$B$19*$C$19/$D$19*$A$32/$B$32)</f>
        <v/>
      </c>
      <c r="K103" s="50" t="str">
        <f t="shared" si="1"/>
        <v/>
      </c>
      <c r="L103" s="67" t="str">
        <f t="shared" si="4"/>
        <v/>
      </c>
    </row>
    <row r="104" spans="1:12" ht="15" customHeight="1" x14ac:dyDescent="0.25">
      <c r="A104" s="89"/>
      <c r="B104" s="58"/>
      <c r="C104" s="68" t="str">
        <f t="shared" si="3"/>
        <v/>
      </c>
      <c r="D104" s="92"/>
      <c r="E104" s="92"/>
      <c r="F104" s="92"/>
      <c r="G104" s="111"/>
      <c r="H104" s="5"/>
      <c r="I104" s="11"/>
      <c r="J104" s="50" t="str">
        <f t="shared" ref="J104" si="51">IF(B104="","",B104/$B$27*$E$19/$F$19*$G$19/$H$19*$C$35/$B$35*$A$35/$F$26*$B$19*$C$19/$D$19*$A$32/$B$32)</f>
        <v/>
      </c>
      <c r="K104" s="50" t="str">
        <f t="shared" si="1"/>
        <v/>
      </c>
      <c r="L104" s="67" t="str">
        <f t="shared" si="4"/>
        <v/>
      </c>
    </row>
    <row r="105" spans="1:12" ht="15" customHeight="1" x14ac:dyDescent="0.25">
      <c r="A105" s="90"/>
      <c r="B105" s="58"/>
      <c r="C105" s="71" t="str">
        <f t="shared" si="3"/>
        <v/>
      </c>
      <c r="D105" s="93"/>
      <c r="E105" s="93"/>
      <c r="F105" s="93"/>
      <c r="G105" s="111"/>
      <c r="H105" s="5"/>
      <c r="I105" s="11"/>
      <c r="J105" s="50" t="str">
        <f t="shared" ref="J105" si="52">IF(B105="","",B105/$B$27*$E$19/$F$19*$G$19/$H$19*$C$35/$B$35*$A$35/$F$27*$B$19*$C$19/$D$19*$A$32/$B$32)</f>
        <v/>
      </c>
      <c r="K105" s="50" t="str">
        <f t="shared" ref="K105:K168" si="53">IF(J105="","",J105*$A$37/$A$35)</f>
        <v/>
      </c>
      <c r="L105" s="67" t="str">
        <f t="shared" si="4"/>
        <v/>
      </c>
    </row>
    <row r="106" spans="1:12" ht="15" customHeight="1" x14ac:dyDescent="0.25">
      <c r="A106" s="88"/>
      <c r="B106" s="58"/>
      <c r="C106" s="68" t="str">
        <f t="shared" si="3"/>
        <v/>
      </c>
      <c r="D106" s="91" t="e">
        <f>AVERAGE(C106:C111)</f>
        <v>#DIV/0!</v>
      </c>
      <c r="E106" s="91">
        <f>MIN(C106:C111)</f>
        <v>0</v>
      </c>
      <c r="F106" s="91">
        <f>MAX(C106:C111)</f>
        <v>0</v>
      </c>
      <c r="G106" s="111" t="e">
        <f>STDEV(C106:C111)*100/D106</f>
        <v>#DIV/0!</v>
      </c>
      <c r="H106" s="5"/>
      <c r="I106" s="11"/>
      <c r="J106" s="50" t="str">
        <f t="shared" ref="J106" si="54">IF(B106="","",B106/$B$27*$E$19/$F$19*$G$19/$H$19*$C$35/$B$35*$A$35/$F$22*$B$19*$C$19/$D$19*$A$32/$B$32)</f>
        <v/>
      </c>
      <c r="K106" s="50" t="str">
        <f t="shared" si="53"/>
        <v/>
      </c>
      <c r="L106" s="67" t="str">
        <f t="shared" si="4"/>
        <v/>
      </c>
    </row>
    <row r="107" spans="1:12" ht="15" customHeight="1" x14ac:dyDescent="0.25">
      <c r="A107" s="89"/>
      <c r="B107" s="58"/>
      <c r="C107" s="68" t="str">
        <f t="shared" si="3"/>
        <v/>
      </c>
      <c r="D107" s="92"/>
      <c r="E107" s="92"/>
      <c r="F107" s="92"/>
      <c r="G107" s="111"/>
      <c r="H107" s="5"/>
      <c r="I107" s="11"/>
      <c r="J107" s="50" t="str">
        <f t="shared" ref="J107" si="55">IF(B107="","",B107/$B$27*$E$19/$F$19*$G$19/$H$19*$C$35/$B$35*$A$35/$F$23*$B$19*$C$19/$D$19*$A$32/$B$32)</f>
        <v/>
      </c>
      <c r="K107" s="50" t="str">
        <f t="shared" si="53"/>
        <v/>
      </c>
      <c r="L107" s="67" t="str">
        <f t="shared" si="4"/>
        <v/>
      </c>
    </row>
    <row r="108" spans="1:12" ht="15" customHeight="1" x14ac:dyDescent="0.25">
      <c r="A108" s="89"/>
      <c r="B108" s="58"/>
      <c r="C108" s="71" t="str">
        <f t="shared" si="3"/>
        <v/>
      </c>
      <c r="D108" s="92"/>
      <c r="E108" s="92"/>
      <c r="F108" s="92"/>
      <c r="G108" s="111"/>
      <c r="H108" s="5"/>
      <c r="I108" s="11"/>
      <c r="J108" s="50" t="str">
        <f t="shared" ref="J108" si="56">IF(B108="","",B108/$B$27*$E$19/$F$19*$G$19/$H$19*$C$35/$B$35*$A$35/$F$24*$B$19*$C$19/$D$19*$A$32/$B$32)</f>
        <v/>
      </c>
      <c r="K108" s="50" t="str">
        <f t="shared" si="53"/>
        <v/>
      </c>
      <c r="L108" s="67" t="str">
        <f t="shared" si="4"/>
        <v/>
      </c>
    </row>
    <row r="109" spans="1:12" ht="15" customHeight="1" x14ac:dyDescent="0.25">
      <c r="A109" s="89"/>
      <c r="B109" s="58"/>
      <c r="C109" s="68" t="str">
        <f t="shared" si="3"/>
        <v/>
      </c>
      <c r="D109" s="92"/>
      <c r="E109" s="92"/>
      <c r="F109" s="92"/>
      <c r="G109" s="111"/>
      <c r="H109" s="5"/>
      <c r="I109" s="11"/>
      <c r="J109" s="50" t="str">
        <f t="shared" ref="J109" si="57">IF(B109="","",B109/$B$27*$E$19/$F$19*$G$19/$H$19*$C$35/$B$35*$A$35/$F$25*$B$19*$C$19/$D$19*$A$32/$B$32)</f>
        <v/>
      </c>
      <c r="K109" s="50" t="str">
        <f t="shared" si="53"/>
        <v/>
      </c>
      <c r="L109" s="67" t="str">
        <f t="shared" si="4"/>
        <v/>
      </c>
    </row>
    <row r="110" spans="1:12" ht="15" customHeight="1" x14ac:dyDescent="0.25">
      <c r="A110" s="89"/>
      <c r="B110" s="58"/>
      <c r="C110" s="68" t="str">
        <f t="shared" si="3"/>
        <v/>
      </c>
      <c r="D110" s="92"/>
      <c r="E110" s="92"/>
      <c r="F110" s="92"/>
      <c r="G110" s="111"/>
      <c r="H110" s="5"/>
      <c r="I110" s="11"/>
      <c r="J110" s="50" t="str">
        <f t="shared" ref="J110" si="58">IF(B110="","",B110/$B$27*$E$19/$F$19*$G$19/$H$19*$C$35/$B$35*$A$35/$F$26*$B$19*$C$19/$D$19*$A$32/$B$32)</f>
        <v/>
      </c>
      <c r="K110" s="50" t="str">
        <f t="shared" si="53"/>
        <v/>
      </c>
      <c r="L110" s="67" t="str">
        <f t="shared" si="4"/>
        <v/>
      </c>
    </row>
    <row r="111" spans="1:12" ht="15" customHeight="1" x14ac:dyDescent="0.25">
      <c r="A111" s="90"/>
      <c r="B111" s="58"/>
      <c r="C111" s="71" t="str">
        <f t="shared" si="3"/>
        <v/>
      </c>
      <c r="D111" s="93"/>
      <c r="E111" s="93"/>
      <c r="F111" s="93"/>
      <c r="G111" s="111"/>
      <c r="H111" s="5"/>
      <c r="I111" s="11"/>
      <c r="J111" s="50" t="str">
        <f t="shared" ref="J111" si="59">IF(B111="","",B111/$B$27*$E$19/$F$19*$G$19/$H$19*$C$35/$B$35*$A$35/$F$27*$B$19*$C$19/$D$19*$A$32/$B$32)</f>
        <v/>
      </c>
      <c r="K111" s="50" t="str">
        <f t="shared" si="53"/>
        <v/>
      </c>
      <c r="L111" s="67" t="str">
        <f t="shared" si="4"/>
        <v/>
      </c>
    </row>
    <row r="112" spans="1:12" ht="15" customHeight="1" x14ac:dyDescent="0.25">
      <c r="A112" s="88"/>
      <c r="B112" s="58"/>
      <c r="C112" s="68" t="str">
        <f t="shared" si="3"/>
        <v/>
      </c>
      <c r="D112" s="91" t="e">
        <f>AVERAGE(C112:C117)</f>
        <v>#DIV/0!</v>
      </c>
      <c r="E112" s="91">
        <f>MIN(C112:C117)</f>
        <v>0</v>
      </c>
      <c r="F112" s="91">
        <f>MAX(C112:C117)</f>
        <v>0</v>
      </c>
      <c r="G112" s="111" t="e">
        <f>STDEV(C112:C117)*100/D112</f>
        <v>#DIV/0!</v>
      </c>
      <c r="H112" s="5"/>
      <c r="I112" s="11"/>
      <c r="J112" s="50" t="str">
        <f t="shared" ref="J112" si="60">IF(B112="","",B112/$B$27*$E$19/$F$19*$G$19/$H$19*$C$35/$B$35*$A$35/$F$22*$B$19*$C$19/$D$19*$A$32/$B$32)</f>
        <v/>
      </c>
      <c r="K112" s="50" t="str">
        <f t="shared" si="53"/>
        <v/>
      </c>
      <c r="L112" s="67" t="str">
        <f t="shared" si="4"/>
        <v/>
      </c>
    </row>
    <row r="113" spans="1:12" ht="15" customHeight="1" x14ac:dyDescent="0.25">
      <c r="A113" s="89"/>
      <c r="B113" s="58"/>
      <c r="C113" s="68" t="str">
        <f t="shared" ref="C113:C176" si="61">IF(J113="","",J113+L113)</f>
        <v/>
      </c>
      <c r="D113" s="92"/>
      <c r="E113" s="92"/>
      <c r="F113" s="92"/>
      <c r="G113" s="111"/>
      <c r="H113" s="5"/>
      <c r="I113" s="11"/>
      <c r="J113" s="50" t="str">
        <f t="shared" ref="J113" si="62">IF(B113="","",B113/$B$27*$E$19/$F$19*$G$19/$H$19*$C$35/$B$35*$A$35/$F$23*$B$19*$C$19/$D$19*$A$32/$B$32)</f>
        <v/>
      </c>
      <c r="K113" s="50" t="str">
        <f t="shared" si="53"/>
        <v/>
      </c>
      <c r="L113" s="67" t="str">
        <f t="shared" si="4"/>
        <v/>
      </c>
    </row>
    <row r="114" spans="1:12" ht="15" customHeight="1" x14ac:dyDescent="0.25">
      <c r="A114" s="89"/>
      <c r="B114" s="58"/>
      <c r="C114" s="71" t="str">
        <f t="shared" si="61"/>
        <v/>
      </c>
      <c r="D114" s="92"/>
      <c r="E114" s="92"/>
      <c r="F114" s="92"/>
      <c r="G114" s="111"/>
      <c r="H114" s="5"/>
      <c r="I114" s="11"/>
      <c r="J114" s="50" t="str">
        <f t="shared" ref="J114" si="63">IF(B114="","",B114/$B$27*$E$19/$F$19*$G$19/$H$19*$C$35/$B$35*$A$35/$F$24*$B$19*$C$19/$D$19*$A$32/$B$32)</f>
        <v/>
      </c>
      <c r="K114" s="50" t="str">
        <f t="shared" si="53"/>
        <v/>
      </c>
      <c r="L114" s="67" t="str">
        <f t="shared" si="4"/>
        <v/>
      </c>
    </row>
    <row r="115" spans="1:12" ht="15" customHeight="1" x14ac:dyDescent="0.25">
      <c r="A115" s="89"/>
      <c r="B115" s="58"/>
      <c r="C115" s="68" t="str">
        <f t="shared" si="61"/>
        <v/>
      </c>
      <c r="D115" s="92"/>
      <c r="E115" s="92"/>
      <c r="F115" s="92"/>
      <c r="G115" s="111"/>
      <c r="H115" s="5"/>
      <c r="I115" s="11"/>
      <c r="J115" s="50" t="str">
        <f t="shared" ref="J115" si="64">IF(B115="","",B115/$B$27*$E$19/$F$19*$G$19/$H$19*$C$35/$B$35*$A$35/$F$25*$B$19*$C$19/$D$19*$A$32/$B$32)</f>
        <v/>
      </c>
      <c r="K115" s="50" t="str">
        <f t="shared" si="53"/>
        <v/>
      </c>
      <c r="L115" s="67" t="str">
        <f t="shared" si="4"/>
        <v/>
      </c>
    </row>
    <row r="116" spans="1:12" ht="15" customHeight="1" x14ac:dyDescent="0.25">
      <c r="A116" s="89"/>
      <c r="B116" s="58"/>
      <c r="C116" s="68" t="str">
        <f t="shared" si="61"/>
        <v/>
      </c>
      <c r="D116" s="92"/>
      <c r="E116" s="92"/>
      <c r="F116" s="92"/>
      <c r="G116" s="111"/>
      <c r="H116" s="5"/>
      <c r="I116" s="11"/>
      <c r="J116" s="50" t="str">
        <f t="shared" ref="J116" si="65">IF(B116="","",B116/$B$27*$E$19/$F$19*$G$19/$H$19*$C$35/$B$35*$A$35/$F$26*$B$19*$C$19/$D$19*$A$32/$B$32)</f>
        <v/>
      </c>
      <c r="K116" s="50" t="str">
        <f t="shared" si="53"/>
        <v/>
      </c>
      <c r="L116" s="67" t="str">
        <f t="shared" ref="L116:L179" si="66">IF(K110="","",K110+L110)</f>
        <v/>
      </c>
    </row>
    <row r="117" spans="1:12" ht="15" customHeight="1" x14ac:dyDescent="0.25">
      <c r="A117" s="90"/>
      <c r="B117" s="58"/>
      <c r="C117" s="71" t="str">
        <f t="shared" si="61"/>
        <v/>
      </c>
      <c r="D117" s="93"/>
      <c r="E117" s="93"/>
      <c r="F117" s="93"/>
      <c r="G117" s="111"/>
      <c r="H117" s="5"/>
      <c r="I117" s="11"/>
      <c r="J117" s="50" t="str">
        <f t="shared" ref="J117" si="67">IF(B117="","",B117/$B$27*$E$19/$F$19*$G$19/$H$19*$C$35/$B$35*$A$35/$F$27*$B$19*$C$19/$D$19*$A$32/$B$32)</f>
        <v/>
      </c>
      <c r="K117" s="50" t="str">
        <f t="shared" si="53"/>
        <v/>
      </c>
      <c r="L117" s="67" t="str">
        <f t="shared" si="66"/>
        <v/>
      </c>
    </row>
    <row r="118" spans="1:12" ht="15" customHeight="1" x14ac:dyDescent="0.25">
      <c r="A118" s="88"/>
      <c r="B118" s="58"/>
      <c r="C118" s="68" t="str">
        <f t="shared" si="61"/>
        <v/>
      </c>
      <c r="D118" s="91" t="e">
        <f>AVERAGE(C118:C123)</f>
        <v>#DIV/0!</v>
      </c>
      <c r="E118" s="91">
        <f>MIN(C118:C123)</f>
        <v>0</v>
      </c>
      <c r="F118" s="91">
        <f>MAX(C118:C123)</f>
        <v>0</v>
      </c>
      <c r="G118" s="111" t="e">
        <f>STDEV(C118:C123)*100/D118</f>
        <v>#DIV/0!</v>
      </c>
      <c r="H118" s="5"/>
      <c r="I118" s="11"/>
      <c r="J118" s="50" t="str">
        <f t="shared" ref="J118" si="68">IF(B118="","",B118/$B$27*$E$19/$F$19*$G$19/$H$19*$C$35/$B$35*$A$35/$F$22*$B$19*$C$19/$D$19*$A$32/$B$32)</f>
        <v/>
      </c>
      <c r="K118" s="50" t="str">
        <f t="shared" si="53"/>
        <v/>
      </c>
      <c r="L118" s="67" t="str">
        <f t="shared" si="66"/>
        <v/>
      </c>
    </row>
    <row r="119" spans="1:12" ht="15" customHeight="1" x14ac:dyDescent="0.25">
      <c r="A119" s="89"/>
      <c r="B119" s="58"/>
      <c r="C119" s="68" t="str">
        <f t="shared" si="61"/>
        <v/>
      </c>
      <c r="D119" s="92"/>
      <c r="E119" s="92"/>
      <c r="F119" s="92"/>
      <c r="G119" s="111"/>
      <c r="H119" s="5"/>
      <c r="I119" s="11"/>
      <c r="J119" s="50" t="str">
        <f t="shared" ref="J119" si="69">IF(B119="","",B119/$B$27*$E$19/$F$19*$G$19/$H$19*$C$35/$B$35*$A$35/$F$23*$B$19*$C$19/$D$19*$A$32/$B$32)</f>
        <v/>
      </c>
      <c r="K119" s="50" t="str">
        <f t="shared" si="53"/>
        <v/>
      </c>
      <c r="L119" s="67" t="str">
        <f t="shared" si="66"/>
        <v/>
      </c>
    </row>
    <row r="120" spans="1:12" ht="15" customHeight="1" x14ac:dyDescent="0.25">
      <c r="A120" s="89"/>
      <c r="B120" s="58"/>
      <c r="C120" s="71" t="str">
        <f t="shared" si="61"/>
        <v/>
      </c>
      <c r="D120" s="92"/>
      <c r="E120" s="92"/>
      <c r="F120" s="92"/>
      <c r="G120" s="111"/>
      <c r="H120" s="5"/>
      <c r="I120" s="11"/>
      <c r="J120" s="50" t="str">
        <f t="shared" ref="J120" si="70">IF(B120="","",B120/$B$27*$E$19/$F$19*$G$19/$H$19*$C$35/$B$35*$A$35/$F$24*$B$19*$C$19/$D$19*$A$32/$B$32)</f>
        <v/>
      </c>
      <c r="K120" s="50" t="str">
        <f t="shared" si="53"/>
        <v/>
      </c>
      <c r="L120" s="67" t="str">
        <f t="shared" si="66"/>
        <v/>
      </c>
    </row>
    <row r="121" spans="1:12" ht="15" customHeight="1" x14ac:dyDescent="0.25">
      <c r="A121" s="89"/>
      <c r="B121" s="58"/>
      <c r="C121" s="68" t="str">
        <f t="shared" si="61"/>
        <v/>
      </c>
      <c r="D121" s="92"/>
      <c r="E121" s="92"/>
      <c r="F121" s="92"/>
      <c r="G121" s="111"/>
      <c r="H121" s="5"/>
      <c r="I121" s="11"/>
      <c r="J121" s="50" t="str">
        <f t="shared" ref="J121" si="71">IF(B121="","",B121/$B$27*$E$19/$F$19*$G$19/$H$19*$C$35/$B$35*$A$35/$F$25*$B$19*$C$19/$D$19*$A$32/$B$32)</f>
        <v/>
      </c>
      <c r="K121" s="50" t="str">
        <f t="shared" si="53"/>
        <v/>
      </c>
      <c r="L121" s="67" t="str">
        <f t="shared" si="66"/>
        <v/>
      </c>
    </row>
    <row r="122" spans="1:12" ht="15" customHeight="1" x14ac:dyDescent="0.25">
      <c r="A122" s="89"/>
      <c r="B122" s="58"/>
      <c r="C122" s="68" t="str">
        <f t="shared" si="61"/>
        <v/>
      </c>
      <c r="D122" s="92"/>
      <c r="E122" s="92"/>
      <c r="F122" s="92"/>
      <c r="G122" s="111"/>
      <c r="H122" s="5"/>
      <c r="I122" s="11"/>
      <c r="J122" s="50" t="str">
        <f t="shared" ref="J122" si="72">IF(B122="","",B122/$B$27*$E$19/$F$19*$G$19/$H$19*$C$35/$B$35*$A$35/$F$26*$B$19*$C$19/$D$19*$A$32/$B$32)</f>
        <v/>
      </c>
      <c r="K122" s="50" t="str">
        <f t="shared" si="53"/>
        <v/>
      </c>
      <c r="L122" s="67" t="str">
        <f t="shared" si="66"/>
        <v/>
      </c>
    </row>
    <row r="123" spans="1:12" ht="15" customHeight="1" x14ac:dyDescent="0.25">
      <c r="A123" s="90"/>
      <c r="B123" s="58"/>
      <c r="C123" s="71" t="str">
        <f t="shared" si="61"/>
        <v/>
      </c>
      <c r="D123" s="93"/>
      <c r="E123" s="93"/>
      <c r="F123" s="93"/>
      <c r="G123" s="111"/>
      <c r="H123" s="5"/>
      <c r="I123" s="11"/>
      <c r="J123" s="50" t="str">
        <f t="shared" ref="J123" si="73">IF(B123="","",B123/$B$27*$E$19/$F$19*$G$19/$H$19*$C$35/$B$35*$A$35/$F$27*$B$19*$C$19/$D$19*$A$32/$B$32)</f>
        <v/>
      </c>
      <c r="K123" s="50" t="str">
        <f t="shared" si="53"/>
        <v/>
      </c>
      <c r="L123" s="67" t="str">
        <f t="shared" si="66"/>
        <v/>
      </c>
    </row>
    <row r="124" spans="1:12" ht="15" customHeight="1" x14ac:dyDescent="0.25">
      <c r="A124" s="88"/>
      <c r="B124" s="58"/>
      <c r="C124" s="68" t="str">
        <f t="shared" si="61"/>
        <v/>
      </c>
      <c r="D124" s="91" t="e">
        <f>AVERAGE(C124:C129)</f>
        <v>#DIV/0!</v>
      </c>
      <c r="E124" s="91">
        <f>MIN(C124:C129)</f>
        <v>0</v>
      </c>
      <c r="F124" s="91">
        <f>MAX(C124:C129)</f>
        <v>0</v>
      </c>
      <c r="G124" s="111" t="e">
        <f>STDEV(C124:C129)*100/D124</f>
        <v>#DIV/0!</v>
      </c>
      <c r="H124" s="5"/>
      <c r="I124" s="11"/>
      <c r="J124" s="50" t="str">
        <f t="shared" ref="J124" si="74">IF(B124="","",B124/$B$27*$E$19/$F$19*$G$19/$H$19*$C$35/$B$35*$A$35/$F$22*$B$19*$C$19/$D$19*$A$32/$B$32)</f>
        <v/>
      </c>
      <c r="K124" s="50" t="str">
        <f t="shared" si="53"/>
        <v/>
      </c>
      <c r="L124" s="67" t="str">
        <f t="shared" si="66"/>
        <v/>
      </c>
    </row>
    <row r="125" spans="1:12" ht="15" customHeight="1" x14ac:dyDescent="0.25">
      <c r="A125" s="89"/>
      <c r="B125" s="58"/>
      <c r="C125" s="68" t="str">
        <f t="shared" si="61"/>
        <v/>
      </c>
      <c r="D125" s="92"/>
      <c r="E125" s="92"/>
      <c r="F125" s="92"/>
      <c r="G125" s="111"/>
      <c r="H125" s="5"/>
      <c r="I125" s="11"/>
      <c r="J125" s="50" t="str">
        <f t="shared" ref="J125" si="75">IF(B125="","",B125/$B$27*$E$19/$F$19*$G$19/$H$19*$C$35/$B$35*$A$35/$F$23*$B$19*$C$19/$D$19*$A$32/$B$32)</f>
        <v/>
      </c>
      <c r="K125" s="50" t="str">
        <f t="shared" si="53"/>
        <v/>
      </c>
      <c r="L125" s="67" t="str">
        <f t="shared" si="66"/>
        <v/>
      </c>
    </row>
    <row r="126" spans="1:12" ht="15" customHeight="1" x14ac:dyDescent="0.25">
      <c r="A126" s="89"/>
      <c r="B126" s="58"/>
      <c r="C126" s="71" t="str">
        <f t="shared" si="61"/>
        <v/>
      </c>
      <c r="D126" s="92"/>
      <c r="E126" s="92"/>
      <c r="F126" s="92"/>
      <c r="G126" s="111"/>
      <c r="H126" s="5"/>
      <c r="I126" s="11"/>
      <c r="J126" s="50" t="str">
        <f t="shared" ref="J126" si="76">IF(B126="","",B126/$B$27*$E$19/$F$19*$G$19/$H$19*$C$35/$B$35*$A$35/$F$24*$B$19*$C$19/$D$19*$A$32/$B$32)</f>
        <v/>
      </c>
      <c r="K126" s="50" t="str">
        <f t="shared" si="53"/>
        <v/>
      </c>
      <c r="L126" s="67" t="str">
        <f t="shared" si="66"/>
        <v/>
      </c>
    </row>
    <row r="127" spans="1:12" ht="15" customHeight="1" x14ac:dyDescent="0.25">
      <c r="A127" s="89"/>
      <c r="B127" s="58"/>
      <c r="C127" s="68" t="str">
        <f t="shared" si="61"/>
        <v/>
      </c>
      <c r="D127" s="92"/>
      <c r="E127" s="92"/>
      <c r="F127" s="92"/>
      <c r="G127" s="111"/>
      <c r="H127" s="5"/>
      <c r="I127" s="11"/>
      <c r="J127" s="50" t="str">
        <f t="shared" ref="J127" si="77">IF(B127="","",B127/$B$27*$E$19/$F$19*$G$19/$H$19*$C$35/$B$35*$A$35/$F$25*$B$19*$C$19/$D$19*$A$32/$B$32)</f>
        <v/>
      </c>
      <c r="K127" s="50" t="str">
        <f t="shared" si="53"/>
        <v/>
      </c>
      <c r="L127" s="67" t="str">
        <f t="shared" si="66"/>
        <v/>
      </c>
    </row>
    <row r="128" spans="1:12" ht="15" customHeight="1" x14ac:dyDescent="0.25">
      <c r="A128" s="89"/>
      <c r="B128" s="58"/>
      <c r="C128" s="68" t="str">
        <f t="shared" si="61"/>
        <v/>
      </c>
      <c r="D128" s="92"/>
      <c r="E128" s="92"/>
      <c r="F128" s="92"/>
      <c r="G128" s="111"/>
      <c r="H128" s="5"/>
      <c r="I128" s="11"/>
      <c r="J128" s="50" t="str">
        <f t="shared" ref="J128" si="78">IF(B128="","",B128/$B$27*$E$19/$F$19*$G$19/$H$19*$C$35/$B$35*$A$35/$F$26*$B$19*$C$19/$D$19*$A$32/$B$32)</f>
        <v/>
      </c>
      <c r="K128" s="50" t="str">
        <f t="shared" si="53"/>
        <v/>
      </c>
      <c r="L128" s="67" t="str">
        <f t="shared" si="66"/>
        <v/>
      </c>
    </row>
    <row r="129" spans="1:12" ht="15" customHeight="1" x14ac:dyDescent="0.25">
      <c r="A129" s="90"/>
      <c r="B129" s="58"/>
      <c r="C129" s="71" t="str">
        <f t="shared" si="61"/>
        <v/>
      </c>
      <c r="D129" s="93"/>
      <c r="E129" s="93"/>
      <c r="F129" s="93"/>
      <c r="G129" s="111"/>
      <c r="H129" s="5"/>
      <c r="I129" s="11"/>
      <c r="J129" s="50" t="str">
        <f t="shared" ref="J129" si="79">IF(B129="","",B129/$B$27*$E$19/$F$19*$G$19/$H$19*$C$35/$B$35*$A$35/$F$27*$B$19*$C$19/$D$19*$A$32/$B$32)</f>
        <v/>
      </c>
      <c r="K129" s="50" t="str">
        <f t="shared" si="53"/>
        <v/>
      </c>
      <c r="L129" s="67" t="str">
        <f t="shared" si="66"/>
        <v/>
      </c>
    </row>
    <row r="130" spans="1:12" ht="15" customHeight="1" x14ac:dyDescent="0.25">
      <c r="A130" s="88"/>
      <c r="B130" s="58"/>
      <c r="C130" s="68" t="str">
        <f t="shared" si="61"/>
        <v/>
      </c>
      <c r="D130" s="91" t="e">
        <f>AVERAGE(C130:C135)</f>
        <v>#DIV/0!</v>
      </c>
      <c r="E130" s="91">
        <f>MIN(C130:C135)</f>
        <v>0</v>
      </c>
      <c r="F130" s="91">
        <f>MAX(C130:C135)</f>
        <v>0</v>
      </c>
      <c r="G130" s="111" t="e">
        <f>STDEV(C130:C135)*100/D130</f>
        <v>#DIV/0!</v>
      </c>
      <c r="H130" s="5"/>
      <c r="I130" s="11"/>
      <c r="J130" s="50" t="str">
        <f t="shared" ref="J130" si="80">IF(B130="","",B130/$B$27*$E$19/$F$19*$G$19/$H$19*$C$35/$B$35*$A$35/$F$22*$B$19*$C$19/$D$19*$A$32/$B$32)</f>
        <v/>
      </c>
      <c r="K130" s="50" t="str">
        <f t="shared" si="53"/>
        <v/>
      </c>
      <c r="L130" s="67" t="str">
        <f t="shared" si="66"/>
        <v/>
      </c>
    </row>
    <row r="131" spans="1:12" ht="15" customHeight="1" x14ac:dyDescent="0.25">
      <c r="A131" s="89"/>
      <c r="B131" s="58"/>
      <c r="C131" s="68" t="str">
        <f t="shared" si="61"/>
        <v/>
      </c>
      <c r="D131" s="92"/>
      <c r="E131" s="92"/>
      <c r="F131" s="92"/>
      <c r="G131" s="111"/>
      <c r="H131" s="5"/>
      <c r="I131" s="11"/>
      <c r="J131" s="50" t="str">
        <f t="shared" ref="J131" si="81">IF(B131="","",B131/$B$27*$E$19/$F$19*$G$19/$H$19*$C$35/$B$35*$A$35/$F$23*$B$19*$C$19/$D$19*$A$32/$B$32)</f>
        <v/>
      </c>
      <c r="K131" s="50" t="str">
        <f t="shared" si="53"/>
        <v/>
      </c>
      <c r="L131" s="67" t="str">
        <f t="shared" si="66"/>
        <v/>
      </c>
    </row>
    <row r="132" spans="1:12" ht="15" customHeight="1" x14ac:dyDescent="0.25">
      <c r="A132" s="89"/>
      <c r="B132" s="58"/>
      <c r="C132" s="71" t="str">
        <f t="shared" si="61"/>
        <v/>
      </c>
      <c r="D132" s="92"/>
      <c r="E132" s="92"/>
      <c r="F132" s="92"/>
      <c r="G132" s="111"/>
      <c r="H132" s="5"/>
      <c r="I132" s="11"/>
      <c r="J132" s="50" t="str">
        <f t="shared" ref="J132" si="82">IF(B132="","",B132/$B$27*$E$19/$F$19*$G$19/$H$19*$C$35/$B$35*$A$35/$F$24*$B$19*$C$19/$D$19*$A$32/$B$32)</f>
        <v/>
      </c>
      <c r="K132" s="50" t="str">
        <f t="shared" si="53"/>
        <v/>
      </c>
      <c r="L132" s="67" t="str">
        <f t="shared" si="66"/>
        <v/>
      </c>
    </row>
    <row r="133" spans="1:12" ht="15" customHeight="1" x14ac:dyDescent="0.25">
      <c r="A133" s="89"/>
      <c r="B133" s="58"/>
      <c r="C133" s="68" t="str">
        <f t="shared" si="61"/>
        <v/>
      </c>
      <c r="D133" s="92"/>
      <c r="E133" s="92"/>
      <c r="F133" s="92"/>
      <c r="G133" s="111"/>
      <c r="H133" s="5"/>
      <c r="I133" s="11"/>
      <c r="J133" s="50" t="str">
        <f t="shared" ref="J133" si="83">IF(B133="","",B133/$B$27*$E$19/$F$19*$G$19/$H$19*$C$35/$B$35*$A$35/$F$25*$B$19*$C$19/$D$19*$A$32/$B$32)</f>
        <v/>
      </c>
      <c r="K133" s="50" t="str">
        <f t="shared" si="53"/>
        <v/>
      </c>
      <c r="L133" s="67" t="str">
        <f t="shared" si="66"/>
        <v/>
      </c>
    </row>
    <row r="134" spans="1:12" ht="15" customHeight="1" x14ac:dyDescent="0.25">
      <c r="A134" s="89"/>
      <c r="B134" s="58"/>
      <c r="C134" s="68" t="str">
        <f t="shared" si="61"/>
        <v/>
      </c>
      <c r="D134" s="92"/>
      <c r="E134" s="92"/>
      <c r="F134" s="92"/>
      <c r="G134" s="111"/>
      <c r="H134" s="5"/>
      <c r="I134" s="11"/>
      <c r="J134" s="50" t="str">
        <f t="shared" ref="J134" si="84">IF(B134="","",B134/$B$27*$E$19/$F$19*$G$19/$H$19*$C$35/$B$35*$A$35/$F$26*$B$19*$C$19/$D$19*$A$32/$B$32)</f>
        <v/>
      </c>
      <c r="K134" s="50" t="str">
        <f t="shared" si="53"/>
        <v/>
      </c>
      <c r="L134" s="67" t="str">
        <f t="shared" si="66"/>
        <v/>
      </c>
    </row>
    <row r="135" spans="1:12" ht="15" customHeight="1" x14ac:dyDescent="0.25">
      <c r="A135" s="90"/>
      <c r="B135" s="58"/>
      <c r="C135" s="71" t="str">
        <f t="shared" si="61"/>
        <v/>
      </c>
      <c r="D135" s="93"/>
      <c r="E135" s="93"/>
      <c r="F135" s="93"/>
      <c r="G135" s="111"/>
      <c r="H135" s="5"/>
      <c r="I135" s="11"/>
      <c r="J135" s="50" t="str">
        <f t="shared" ref="J135" si="85">IF(B135="","",B135/$B$27*$E$19/$F$19*$G$19/$H$19*$C$35/$B$35*$A$35/$F$27*$B$19*$C$19/$D$19*$A$32/$B$32)</f>
        <v/>
      </c>
      <c r="K135" s="50" t="str">
        <f t="shared" si="53"/>
        <v/>
      </c>
      <c r="L135" s="67" t="str">
        <f t="shared" si="66"/>
        <v/>
      </c>
    </row>
    <row r="136" spans="1:12" ht="15" customHeight="1" x14ac:dyDescent="0.25">
      <c r="A136" s="88"/>
      <c r="B136" s="58"/>
      <c r="C136" s="68" t="str">
        <f t="shared" si="61"/>
        <v/>
      </c>
      <c r="D136" s="91" t="e">
        <f>AVERAGE(C136:C141)</f>
        <v>#DIV/0!</v>
      </c>
      <c r="E136" s="91">
        <f>MIN(C136:C141)</f>
        <v>0</v>
      </c>
      <c r="F136" s="91">
        <f>MAX(C136:C141)</f>
        <v>0</v>
      </c>
      <c r="G136" s="111" t="e">
        <f>STDEV(C136:C141)*100/D136</f>
        <v>#DIV/0!</v>
      </c>
      <c r="H136" s="5"/>
      <c r="I136" s="11"/>
      <c r="J136" s="50" t="str">
        <f t="shared" ref="J136" si="86">IF(B136="","",B136/$B$27*$E$19/$F$19*$G$19/$H$19*$C$35/$B$35*$A$35/$F$22*$B$19*$C$19/$D$19*$A$32/$B$32)</f>
        <v/>
      </c>
      <c r="K136" s="50" t="str">
        <f t="shared" si="53"/>
        <v/>
      </c>
      <c r="L136" s="67" t="str">
        <f t="shared" si="66"/>
        <v/>
      </c>
    </row>
    <row r="137" spans="1:12" ht="15" customHeight="1" x14ac:dyDescent="0.25">
      <c r="A137" s="89"/>
      <c r="B137" s="58"/>
      <c r="C137" s="68" t="str">
        <f t="shared" si="61"/>
        <v/>
      </c>
      <c r="D137" s="92"/>
      <c r="E137" s="92"/>
      <c r="F137" s="92"/>
      <c r="G137" s="111"/>
      <c r="H137" s="5"/>
      <c r="I137" s="11"/>
      <c r="J137" s="50" t="str">
        <f t="shared" ref="J137" si="87">IF(B137="","",B137/$B$27*$E$19/$F$19*$G$19/$H$19*$C$35/$B$35*$A$35/$F$23*$B$19*$C$19/$D$19*$A$32/$B$32)</f>
        <v/>
      </c>
      <c r="K137" s="50" t="str">
        <f t="shared" si="53"/>
        <v/>
      </c>
      <c r="L137" s="67" t="str">
        <f t="shared" si="66"/>
        <v/>
      </c>
    </row>
    <row r="138" spans="1:12" ht="15" customHeight="1" x14ac:dyDescent="0.25">
      <c r="A138" s="89"/>
      <c r="B138" s="58"/>
      <c r="C138" s="71" t="str">
        <f t="shared" si="61"/>
        <v/>
      </c>
      <c r="D138" s="92"/>
      <c r="E138" s="92"/>
      <c r="F138" s="92"/>
      <c r="G138" s="111"/>
      <c r="H138" s="5"/>
      <c r="I138" s="11"/>
      <c r="J138" s="50" t="str">
        <f t="shared" ref="J138" si="88">IF(B138="","",B138/$B$27*$E$19/$F$19*$G$19/$H$19*$C$35/$B$35*$A$35/$F$24*$B$19*$C$19/$D$19*$A$32/$B$32)</f>
        <v/>
      </c>
      <c r="K138" s="50" t="str">
        <f t="shared" si="53"/>
        <v/>
      </c>
      <c r="L138" s="67" t="str">
        <f t="shared" si="66"/>
        <v/>
      </c>
    </row>
    <row r="139" spans="1:12" ht="15" customHeight="1" x14ac:dyDescent="0.25">
      <c r="A139" s="89"/>
      <c r="B139" s="58"/>
      <c r="C139" s="68" t="str">
        <f t="shared" si="61"/>
        <v/>
      </c>
      <c r="D139" s="92"/>
      <c r="E139" s="92"/>
      <c r="F139" s="92"/>
      <c r="G139" s="111"/>
      <c r="H139" s="5"/>
      <c r="I139" s="11"/>
      <c r="J139" s="50" t="str">
        <f t="shared" ref="J139" si="89">IF(B139="","",B139/$B$27*$E$19/$F$19*$G$19/$H$19*$C$35/$B$35*$A$35/$F$25*$B$19*$C$19/$D$19*$A$32/$B$32)</f>
        <v/>
      </c>
      <c r="K139" s="50" t="str">
        <f t="shared" si="53"/>
        <v/>
      </c>
      <c r="L139" s="67" t="str">
        <f t="shared" si="66"/>
        <v/>
      </c>
    </row>
    <row r="140" spans="1:12" ht="15" customHeight="1" x14ac:dyDescent="0.25">
      <c r="A140" s="89"/>
      <c r="B140" s="58"/>
      <c r="C140" s="68" t="str">
        <f t="shared" si="61"/>
        <v/>
      </c>
      <c r="D140" s="92"/>
      <c r="E140" s="92"/>
      <c r="F140" s="92"/>
      <c r="G140" s="111"/>
      <c r="H140" s="5"/>
      <c r="I140" s="11"/>
      <c r="J140" s="50" t="str">
        <f t="shared" ref="J140" si="90">IF(B140="","",B140/$B$27*$E$19/$F$19*$G$19/$H$19*$C$35/$B$35*$A$35/$F$26*$B$19*$C$19/$D$19*$A$32/$B$32)</f>
        <v/>
      </c>
      <c r="K140" s="50" t="str">
        <f t="shared" si="53"/>
        <v/>
      </c>
      <c r="L140" s="67" t="str">
        <f t="shared" si="66"/>
        <v/>
      </c>
    </row>
    <row r="141" spans="1:12" ht="15" customHeight="1" x14ac:dyDescent="0.25">
      <c r="A141" s="90"/>
      <c r="B141" s="58"/>
      <c r="C141" s="71" t="str">
        <f t="shared" si="61"/>
        <v/>
      </c>
      <c r="D141" s="93"/>
      <c r="E141" s="93"/>
      <c r="F141" s="93"/>
      <c r="G141" s="111"/>
      <c r="H141" s="5"/>
      <c r="I141" s="11"/>
      <c r="J141" s="50" t="str">
        <f t="shared" ref="J141" si="91">IF(B141="","",B141/$B$27*$E$19/$F$19*$G$19/$H$19*$C$35/$B$35*$A$35/$F$27*$B$19*$C$19/$D$19*$A$32/$B$32)</f>
        <v/>
      </c>
      <c r="K141" s="50" t="str">
        <f t="shared" si="53"/>
        <v/>
      </c>
      <c r="L141" s="67" t="str">
        <f t="shared" si="66"/>
        <v/>
      </c>
    </row>
    <row r="142" spans="1:12" ht="15" customHeight="1" x14ac:dyDescent="0.25">
      <c r="A142" s="88"/>
      <c r="B142" s="58"/>
      <c r="C142" s="68" t="str">
        <f t="shared" si="61"/>
        <v/>
      </c>
      <c r="D142" s="91" t="e">
        <f>AVERAGE(C142:C147)</f>
        <v>#DIV/0!</v>
      </c>
      <c r="E142" s="91">
        <f>MIN(C142:C147)</f>
        <v>0</v>
      </c>
      <c r="F142" s="91">
        <f>MAX(C142:C147)</f>
        <v>0</v>
      </c>
      <c r="G142" s="111" t="e">
        <f>STDEV(C142:C147)*100/D142</f>
        <v>#DIV/0!</v>
      </c>
      <c r="H142" s="5"/>
      <c r="I142" s="11"/>
      <c r="J142" s="50" t="str">
        <f t="shared" ref="J142" si="92">IF(B142="","",B142/$B$27*$E$19/$F$19*$G$19/$H$19*$C$35/$B$35*$A$35/$F$22*$B$19*$C$19/$D$19*$A$32/$B$32)</f>
        <v/>
      </c>
      <c r="K142" s="50" t="str">
        <f t="shared" si="53"/>
        <v/>
      </c>
      <c r="L142" s="67" t="str">
        <f t="shared" si="66"/>
        <v/>
      </c>
    </row>
    <row r="143" spans="1:12" ht="15" customHeight="1" x14ac:dyDescent="0.25">
      <c r="A143" s="89"/>
      <c r="B143" s="58"/>
      <c r="C143" s="68" t="str">
        <f t="shared" si="61"/>
        <v/>
      </c>
      <c r="D143" s="92"/>
      <c r="E143" s="92"/>
      <c r="F143" s="92"/>
      <c r="G143" s="111"/>
      <c r="H143" s="5"/>
      <c r="I143" s="11"/>
      <c r="J143" s="50" t="str">
        <f t="shared" ref="J143" si="93">IF(B143="","",B143/$B$27*$E$19/$F$19*$G$19/$H$19*$C$35/$B$35*$A$35/$F$23*$B$19*$C$19/$D$19*$A$32/$B$32)</f>
        <v/>
      </c>
      <c r="K143" s="50" t="str">
        <f t="shared" si="53"/>
        <v/>
      </c>
      <c r="L143" s="67" t="str">
        <f t="shared" si="66"/>
        <v/>
      </c>
    </row>
    <row r="144" spans="1:12" ht="15" customHeight="1" x14ac:dyDescent="0.25">
      <c r="A144" s="89"/>
      <c r="B144" s="58"/>
      <c r="C144" s="71" t="str">
        <f t="shared" si="61"/>
        <v/>
      </c>
      <c r="D144" s="92"/>
      <c r="E144" s="92"/>
      <c r="F144" s="92"/>
      <c r="G144" s="111"/>
      <c r="H144" s="5"/>
      <c r="I144" s="11"/>
      <c r="J144" s="50" t="str">
        <f t="shared" ref="J144" si="94">IF(B144="","",B144/$B$27*$E$19/$F$19*$G$19/$H$19*$C$35/$B$35*$A$35/$F$24*$B$19*$C$19/$D$19*$A$32/$B$32)</f>
        <v/>
      </c>
      <c r="K144" s="50" t="str">
        <f t="shared" si="53"/>
        <v/>
      </c>
      <c r="L144" s="67" t="str">
        <f t="shared" si="66"/>
        <v/>
      </c>
    </row>
    <row r="145" spans="1:12" ht="15" customHeight="1" x14ac:dyDescent="0.25">
      <c r="A145" s="89"/>
      <c r="B145" s="58"/>
      <c r="C145" s="68" t="str">
        <f t="shared" si="61"/>
        <v/>
      </c>
      <c r="D145" s="92"/>
      <c r="E145" s="92"/>
      <c r="F145" s="92"/>
      <c r="G145" s="111"/>
      <c r="H145" s="5"/>
      <c r="I145" s="11"/>
      <c r="J145" s="50" t="str">
        <f t="shared" ref="J145" si="95">IF(B145="","",B145/$B$27*$E$19/$F$19*$G$19/$H$19*$C$35/$B$35*$A$35/$F$25*$B$19*$C$19/$D$19*$A$32/$B$32)</f>
        <v/>
      </c>
      <c r="K145" s="50" t="str">
        <f t="shared" si="53"/>
        <v/>
      </c>
      <c r="L145" s="67" t="str">
        <f t="shared" si="66"/>
        <v/>
      </c>
    </row>
    <row r="146" spans="1:12" ht="15" customHeight="1" x14ac:dyDescent="0.25">
      <c r="A146" s="89"/>
      <c r="B146" s="58"/>
      <c r="C146" s="68" t="str">
        <f t="shared" si="61"/>
        <v/>
      </c>
      <c r="D146" s="92"/>
      <c r="E146" s="92"/>
      <c r="F146" s="92"/>
      <c r="G146" s="111"/>
      <c r="H146" s="5"/>
      <c r="I146" s="11"/>
      <c r="J146" s="50" t="str">
        <f t="shared" ref="J146" si="96">IF(B146="","",B146/$B$27*$E$19/$F$19*$G$19/$H$19*$C$35/$B$35*$A$35/$F$26*$B$19*$C$19/$D$19*$A$32/$B$32)</f>
        <v/>
      </c>
      <c r="K146" s="50" t="str">
        <f t="shared" si="53"/>
        <v/>
      </c>
      <c r="L146" s="67" t="str">
        <f t="shared" si="66"/>
        <v/>
      </c>
    </row>
    <row r="147" spans="1:12" ht="15" customHeight="1" x14ac:dyDescent="0.25">
      <c r="A147" s="90"/>
      <c r="B147" s="58"/>
      <c r="C147" s="71" t="str">
        <f t="shared" si="61"/>
        <v/>
      </c>
      <c r="D147" s="93"/>
      <c r="E147" s="93"/>
      <c r="F147" s="93"/>
      <c r="G147" s="111"/>
      <c r="H147" s="5"/>
      <c r="I147" s="11"/>
      <c r="J147" s="50" t="str">
        <f t="shared" ref="J147" si="97">IF(B147="","",B147/$B$27*$E$19/$F$19*$G$19/$H$19*$C$35/$B$35*$A$35/$F$27*$B$19*$C$19/$D$19*$A$32/$B$32)</f>
        <v/>
      </c>
      <c r="K147" s="50" t="str">
        <f t="shared" si="53"/>
        <v/>
      </c>
      <c r="L147" s="67" t="str">
        <f t="shared" si="66"/>
        <v/>
      </c>
    </row>
    <row r="148" spans="1:12" ht="15" customHeight="1" x14ac:dyDescent="0.25">
      <c r="A148" s="88"/>
      <c r="B148" s="58"/>
      <c r="C148" s="68" t="str">
        <f t="shared" si="61"/>
        <v/>
      </c>
      <c r="D148" s="91" t="e">
        <f>AVERAGE(C148:C153)</f>
        <v>#DIV/0!</v>
      </c>
      <c r="E148" s="91">
        <f>MIN(C148:C153)</f>
        <v>0</v>
      </c>
      <c r="F148" s="91">
        <f>MAX(C148:C153)</f>
        <v>0</v>
      </c>
      <c r="G148" s="111" t="e">
        <f>STDEV(C148:C153)*100/D148</f>
        <v>#DIV/0!</v>
      </c>
      <c r="H148" s="5"/>
      <c r="I148" s="11"/>
      <c r="J148" s="50" t="str">
        <f t="shared" ref="J148" si="98">IF(B148="","",B148/$B$27*$E$19/$F$19*$G$19/$H$19*$C$35/$B$35*$A$35/$F$22*$B$19*$C$19/$D$19*$A$32/$B$32)</f>
        <v/>
      </c>
      <c r="K148" s="50" t="str">
        <f t="shared" si="53"/>
        <v/>
      </c>
      <c r="L148" s="67" t="str">
        <f t="shared" si="66"/>
        <v/>
      </c>
    </row>
    <row r="149" spans="1:12" ht="15" customHeight="1" x14ac:dyDescent="0.25">
      <c r="A149" s="89"/>
      <c r="B149" s="58"/>
      <c r="C149" s="68" t="str">
        <f t="shared" si="61"/>
        <v/>
      </c>
      <c r="D149" s="92"/>
      <c r="E149" s="92"/>
      <c r="F149" s="92"/>
      <c r="G149" s="111"/>
      <c r="H149" s="5"/>
      <c r="I149" s="11"/>
      <c r="J149" s="50" t="str">
        <f t="shared" ref="J149" si="99">IF(B149="","",B149/$B$27*$E$19/$F$19*$G$19/$H$19*$C$35/$B$35*$A$35/$F$23*$B$19*$C$19/$D$19*$A$32/$B$32)</f>
        <v/>
      </c>
      <c r="K149" s="50" t="str">
        <f t="shared" si="53"/>
        <v/>
      </c>
      <c r="L149" s="67" t="str">
        <f t="shared" si="66"/>
        <v/>
      </c>
    </row>
    <row r="150" spans="1:12" ht="15" customHeight="1" x14ac:dyDescent="0.25">
      <c r="A150" s="89"/>
      <c r="B150" s="58"/>
      <c r="C150" s="71" t="str">
        <f t="shared" si="61"/>
        <v/>
      </c>
      <c r="D150" s="92"/>
      <c r="E150" s="92"/>
      <c r="F150" s="92"/>
      <c r="G150" s="111"/>
      <c r="H150" s="5"/>
      <c r="I150" s="11"/>
      <c r="J150" s="50" t="str">
        <f t="shared" ref="J150" si="100">IF(B150="","",B150/$B$27*$E$19/$F$19*$G$19/$H$19*$C$35/$B$35*$A$35/$F$24*$B$19*$C$19/$D$19*$A$32/$B$32)</f>
        <v/>
      </c>
      <c r="K150" s="50" t="str">
        <f t="shared" si="53"/>
        <v/>
      </c>
      <c r="L150" s="67" t="str">
        <f t="shared" si="66"/>
        <v/>
      </c>
    </row>
    <row r="151" spans="1:12" ht="15" customHeight="1" x14ac:dyDescent="0.25">
      <c r="A151" s="89"/>
      <c r="B151" s="58"/>
      <c r="C151" s="68" t="str">
        <f t="shared" si="61"/>
        <v/>
      </c>
      <c r="D151" s="92"/>
      <c r="E151" s="92"/>
      <c r="F151" s="92"/>
      <c r="G151" s="111"/>
      <c r="H151" s="5"/>
      <c r="I151" s="11"/>
      <c r="J151" s="50" t="str">
        <f t="shared" ref="J151" si="101">IF(B151="","",B151/$B$27*$E$19/$F$19*$G$19/$H$19*$C$35/$B$35*$A$35/$F$25*$B$19*$C$19/$D$19*$A$32/$B$32)</f>
        <v/>
      </c>
      <c r="K151" s="50" t="str">
        <f t="shared" si="53"/>
        <v/>
      </c>
      <c r="L151" s="67" t="str">
        <f t="shared" si="66"/>
        <v/>
      </c>
    </row>
    <row r="152" spans="1:12" ht="15" customHeight="1" x14ac:dyDescent="0.25">
      <c r="A152" s="89"/>
      <c r="B152" s="58"/>
      <c r="C152" s="68" t="str">
        <f t="shared" si="61"/>
        <v/>
      </c>
      <c r="D152" s="92"/>
      <c r="E152" s="92"/>
      <c r="F152" s="92"/>
      <c r="G152" s="111"/>
      <c r="H152" s="5"/>
      <c r="I152" s="11"/>
      <c r="J152" s="50" t="str">
        <f t="shared" ref="J152" si="102">IF(B152="","",B152/$B$27*$E$19/$F$19*$G$19/$H$19*$C$35/$B$35*$A$35/$F$26*$B$19*$C$19/$D$19*$A$32/$B$32)</f>
        <v/>
      </c>
      <c r="K152" s="50" t="str">
        <f t="shared" si="53"/>
        <v/>
      </c>
      <c r="L152" s="67" t="str">
        <f t="shared" si="66"/>
        <v/>
      </c>
    </row>
    <row r="153" spans="1:12" ht="15" customHeight="1" x14ac:dyDescent="0.25">
      <c r="A153" s="90"/>
      <c r="B153" s="58"/>
      <c r="C153" s="71" t="str">
        <f t="shared" si="61"/>
        <v/>
      </c>
      <c r="D153" s="93"/>
      <c r="E153" s="93"/>
      <c r="F153" s="93"/>
      <c r="G153" s="111"/>
      <c r="H153" s="5"/>
      <c r="I153" s="11"/>
      <c r="J153" s="50" t="str">
        <f t="shared" ref="J153" si="103">IF(B153="","",B153/$B$27*$E$19/$F$19*$G$19/$H$19*$C$35/$B$35*$A$35/$F$27*$B$19*$C$19/$D$19*$A$32/$B$32)</f>
        <v/>
      </c>
      <c r="K153" s="50" t="str">
        <f t="shared" si="53"/>
        <v/>
      </c>
      <c r="L153" s="67" t="str">
        <f t="shared" si="66"/>
        <v/>
      </c>
    </row>
    <row r="154" spans="1:12" ht="15" customHeight="1" x14ac:dyDescent="0.25">
      <c r="A154" s="88"/>
      <c r="B154" s="58"/>
      <c r="C154" s="68" t="str">
        <f t="shared" si="61"/>
        <v/>
      </c>
      <c r="D154" s="91" t="e">
        <f>AVERAGE(C154:C159)</f>
        <v>#DIV/0!</v>
      </c>
      <c r="E154" s="91">
        <f>MIN(C154:C159)</f>
        <v>0</v>
      </c>
      <c r="F154" s="91">
        <f>MAX(C154:C159)</f>
        <v>0</v>
      </c>
      <c r="G154" s="111" t="e">
        <f>STDEV(C154:C159)*100/D154</f>
        <v>#DIV/0!</v>
      </c>
      <c r="H154" s="5"/>
      <c r="I154" s="11"/>
      <c r="J154" s="50" t="str">
        <f t="shared" ref="J154" si="104">IF(B154="","",B154/$B$27*$E$19/$F$19*$G$19/$H$19*$C$35/$B$35*$A$35/$F$22*$B$19*$C$19/$D$19*$A$32/$B$32)</f>
        <v/>
      </c>
      <c r="K154" s="50" t="str">
        <f t="shared" si="53"/>
        <v/>
      </c>
      <c r="L154" s="67" t="str">
        <f t="shared" si="66"/>
        <v/>
      </c>
    </row>
    <row r="155" spans="1:12" ht="15" customHeight="1" x14ac:dyDescent="0.25">
      <c r="A155" s="89"/>
      <c r="B155" s="58"/>
      <c r="C155" s="68" t="str">
        <f t="shared" si="61"/>
        <v/>
      </c>
      <c r="D155" s="92"/>
      <c r="E155" s="92"/>
      <c r="F155" s="92"/>
      <c r="G155" s="111"/>
      <c r="H155" s="5"/>
      <c r="I155" s="11"/>
      <c r="J155" s="50" t="str">
        <f t="shared" ref="J155" si="105">IF(B155="","",B155/$B$27*$E$19/$F$19*$G$19/$H$19*$C$35/$B$35*$A$35/$F$23*$B$19*$C$19/$D$19*$A$32/$B$32)</f>
        <v/>
      </c>
      <c r="K155" s="50" t="str">
        <f t="shared" si="53"/>
        <v/>
      </c>
      <c r="L155" s="67" t="str">
        <f t="shared" si="66"/>
        <v/>
      </c>
    </row>
    <row r="156" spans="1:12" ht="15" customHeight="1" x14ac:dyDescent="0.25">
      <c r="A156" s="89"/>
      <c r="B156" s="58"/>
      <c r="C156" s="71" t="str">
        <f t="shared" si="61"/>
        <v/>
      </c>
      <c r="D156" s="92"/>
      <c r="E156" s="92"/>
      <c r="F156" s="92"/>
      <c r="G156" s="111"/>
      <c r="H156" s="5"/>
      <c r="I156" s="11"/>
      <c r="J156" s="50" t="str">
        <f t="shared" ref="J156" si="106">IF(B156="","",B156/$B$27*$E$19/$F$19*$G$19/$H$19*$C$35/$B$35*$A$35/$F$24*$B$19*$C$19/$D$19*$A$32/$B$32)</f>
        <v/>
      </c>
      <c r="K156" s="50" t="str">
        <f t="shared" si="53"/>
        <v/>
      </c>
      <c r="L156" s="67" t="str">
        <f t="shared" si="66"/>
        <v/>
      </c>
    </row>
    <row r="157" spans="1:12" ht="15" customHeight="1" x14ac:dyDescent="0.25">
      <c r="A157" s="89"/>
      <c r="B157" s="58"/>
      <c r="C157" s="68" t="str">
        <f t="shared" si="61"/>
        <v/>
      </c>
      <c r="D157" s="92"/>
      <c r="E157" s="92"/>
      <c r="F157" s="92"/>
      <c r="G157" s="111"/>
      <c r="H157" s="5"/>
      <c r="I157" s="11"/>
      <c r="J157" s="50" t="str">
        <f t="shared" ref="J157" si="107">IF(B157="","",B157/$B$27*$E$19/$F$19*$G$19/$H$19*$C$35/$B$35*$A$35/$F$25*$B$19*$C$19/$D$19*$A$32/$B$32)</f>
        <v/>
      </c>
      <c r="K157" s="50" t="str">
        <f t="shared" si="53"/>
        <v/>
      </c>
      <c r="L157" s="67" t="str">
        <f t="shared" si="66"/>
        <v/>
      </c>
    </row>
    <row r="158" spans="1:12" ht="15" customHeight="1" x14ac:dyDescent="0.25">
      <c r="A158" s="89"/>
      <c r="B158" s="58"/>
      <c r="C158" s="68" t="str">
        <f t="shared" si="61"/>
        <v/>
      </c>
      <c r="D158" s="92"/>
      <c r="E158" s="92"/>
      <c r="F158" s="92"/>
      <c r="G158" s="111"/>
      <c r="H158" s="5"/>
      <c r="I158" s="11"/>
      <c r="J158" s="50" t="str">
        <f t="shared" ref="J158" si="108">IF(B158="","",B158/$B$27*$E$19/$F$19*$G$19/$H$19*$C$35/$B$35*$A$35/$F$26*$B$19*$C$19/$D$19*$A$32/$B$32)</f>
        <v/>
      </c>
      <c r="K158" s="50" t="str">
        <f t="shared" si="53"/>
        <v/>
      </c>
      <c r="L158" s="67" t="str">
        <f t="shared" si="66"/>
        <v/>
      </c>
    </row>
    <row r="159" spans="1:12" ht="15" customHeight="1" x14ac:dyDescent="0.25">
      <c r="A159" s="90"/>
      <c r="B159" s="58"/>
      <c r="C159" s="71" t="str">
        <f t="shared" si="61"/>
        <v/>
      </c>
      <c r="D159" s="93"/>
      <c r="E159" s="93"/>
      <c r="F159" s="93"/>
      <c r="G159" s="111"/>
      <c r="H159" s="5"/>
      <c r="I159" s="11"/>
      <c r="J159" s="50" t="str">
        <f t="shared" ref="J159" si="109">IF(B159="","",B159/$B$27*$E$19/$F$19*$G$19/$H$19*$C$35/$B$35*$A$35/$F$27*$B$19*$C$19/$D$19*$A$32/$B$32)</f>
        <v/>
      </c>
      <c r="K159" s="50" t="str">
        <f t="shared" si="53"/>
        <v/>
      </c>
      <c r="L159" s="67" t="str">
        <f t="shared" si="66"/>
        <v/>
      </c>
    </row>
    <row r="160" spans="1:12" ht="15" customHeight="1" x14ac:dyDescent="0.25">
      <c r="A160" s="88"/>
      <c r="B160" s="58"/>
      <c r="C160" s="68" t="str">
        <f t="shared" si="61"/>
        <v/>
      </c>
      <c r="D160" s="91" t="e">
        <f>AVERAGE(C160:C165)</f>
        <v>#DIV/0!</v>
      </c>
      <c r="E160" s="91">
        <f>MIN(C160:C165)</f>
        <v>0</v>
      </c>
      <c r="F160" s="91">
        <f>MAX(C160:C165)</f>
        <v>0</v>
      </c>
      <c r="G160" s="111" t="e">
        <f>STDEV(C160:C165)*100/D160</f>
        <v>#DIV/0!</v>
      </c>
      <c r="H160" s="5"/>
      <c r="I160" s="11"/>
      <c r="J160" s="50" t="str">
        <f t="shared" ref="J160" si="110">IF(B160="","",B160/$B$27*$E$19/$F$19*$G$19/$H$19*$C$35/$B$35*$A$35/$F$22*$B$19*$C$19/$D$19*$A$32/$B$32)</f>
        <v/>
      </c>
      <c r="K160" s="50" t="str">
        <f t="shared" si="53"/>
        <v/>
      </c>
      <c r="L160" s="67" t="str">
        <f t="shared" si="66"/>
        <v/>
      </c>
    </row>
    <row r="161" spans="1:12" ht="15" customHeight="1" x14ac:dyDescent="0.25">
      <c r="A161" s="89"/>
      <c r="B161" s="58"/>
      <c r="C161" s="68" t="str">
        <f t="shared" si="61"/>
        <v/>
      </c>
      <c r="D161" s="92"/>
      <c r="E161" s="92"/>
      <c r="F161" s="92"/>
      <c r="G161" s="111"/>
      <c r="H161" s="5"/>
      <c r="I161" s="11"/>
      <c r="J161" s="50" t="str">
        <f t="shared" ref="J161" si="111">IF(B161="","",B161/$B$27*$E$19/$F$19*$G$19/$H$19*$C$35/$B$35*$A$35/$F$23*$B$19*$C$19/$D$19*$A$32/$B$32)</f>
        <v/>
      </c>
      <c r="K161" s="50" t="str">
        <f t="shared" si="53"/>
        <v/>
      </c>
      <c r="L161" s="67" t="str">
        <f t="shared" si="66"/>
        <v/>
      </c>
    </row>
    <row r="162" spans="1:12" ht="15" customHeight="1" x14ac:dyDescent="0.25">
      <c r="A162" s="89"/>
      <c r="B162" s="58"/>
      <c r="C162" s="71" t="str">
        <f t="shared" si="61"/>
        <v/>
      </c>
      <c r="D162" s="92"/>
      <c r="E162" s="92"/>
      <c r="F162" s="92"/>
      <c r="G162" s="111"/>
      <c r="H162" s="5"/>
      <c r="I162" s="11"/>
      <c r="J162" s="50" t="str">
        <f t="shared" ref="J162" si="112">IF(B162="","",B162/$B$27*$E$19/$F$19*$G$19/$H$19*$C$35/$B$35*$A$35/$F$24*$B$19*$C$19/$D$19*$A$32/$B$32)</f>
        <v/>
      </c>
      <c r="K162" s="50" t="str">
        <f t="shared" si="53"/>
        <v/>
      </c>
      <c r="L162" s="67" t="str">
        <f t="shared" si="66"/>
        <v/>
      </c>
    </row>
    <row r="163" spans="1:12" ht="15" customHeight="1" x14ac:dyDescent="0.25">
      <c r="A163" s="89"/>
      <c r="B163" s="58"/>
      <c r="C163" s="68" t="str">
        <f t="shared" si="61"/>
        <v/>
      </c>
      <c r="D163" s="92"/>
      <c r="E163" s="92"/>
      <c r="F163" s="92"/>
      <c r="G163" s="111"/>
      <c r="H163" s="5"/>
      <c r="I163" s="11"/>
      <c r="J163" s="50" t="str">
        <f t="shared" ref="J163" si="113">IF(B163="","",B163/$B$27*$E$19/$F$19*$G$19/$H$19*$C$35/$B$35*$A$35/$F$25*$B$19*$C$19/$D$19*$A$32/$B$32)</f>
        <v/>
      </c>
      <c r="K163" s="50" t="str">
        <f t="shared" si="53"/>
        <v/>
      </c>
      <c r="L163" s="67" t="str">
        <f t="shared" si="66"/>
        <v/>
      </c>
    </row>
    <row r="164" spans="1:12" ht="15" customHeight="1" x14ac:dyDescent="0.25">
      <c r="A164" s="89"/>
      <c r="B164" s="58"/>
      <c r="C164" s="68" t="str">
        <f t="shared" si="61"/>
        <v/>
      </c>
      <c r="D164" s="92"/>
      <c r="E164" s="92"/>
      <c r="F164" s="92"/>
      <c r="G164" s="111"/>
      <c r="H164" s="5"/>
      <c r="I164" s="11"/>
      <c r="J164" s="50" t="str">
        <f t="shared" ref="J164" si="114">IF(B164="","",B164/$B$27*$E$19/$F$19*$G$19/$H$19*$C$35/$B$35*$A$35/$F$26*$B$19*$C$19/$D$19*$A$32/$B$32)</f>
        <v/>
      </c>
      <c r="K164" s="50" t="str">
        <f t="shared" si="53"/>
        <v/>
      </c>
      <c r="L164" s="67" t="str">
        <f t="shared" si="66"/>
        <v/>
      </c>
    </row>
    <row r="165" spans="1:12" ht="15" customHeight="1" x14ac:dyDescent="0.25">
      <c r="A165" s="90"/>
      <c r="B165" s="58"/>
      <c r="C165" s="71" t="str">
        <f t="shared" si="61"/>
        <v/>
      </c>
      <c r="D165" s="93"/>
      <c r="E165" s="93"/>
      <c r="F165" s="93"/>
      <c r="G165" s="111"/>
      <c r="H165" s="5"/>
      <c r="I165" s="11"/>
      <c r="J165" s="50" t="str">
        <f t="shared" ref="J165" si="115">IF(B165="","",B165/$B$27*$E$19/$F$19*$G$19/$H$19*$C$35/$B$35*$A$35/$F$27*$B$19*$C$19/$D$19*$A$32/$B$32)</f>
        <v/>
      </c>
      <c r="K165" s="50" t="str">
        <f t="shared" si="53"/>
        <v/>
      </c>
      <c r="L165" s="67" t="str">
        <f t="shared" si="66"/>
        <v/>
      </c>
    </row>
    <row r="166" spans="1:12" ht="15" customHeight="1" x14ac:dyDescent="0.25">
      <c r="A166" s="88"/>
      <c r="B166" s="58"/>
      <c r="C166" s="68" t="str">
        <f t="shared" si="61"/>
        <v/>
      </c>
      <c r="D166" s="91" t="e">
        <f>AVERAGE(C166:C171)</f>
        <v>#DIV/0!</v>
      </c>
      <c r="E166" s="91">
        <f>MIN(C166:C171)</f>
        <v>0</v>
      </c>
      <c r="F166" s="91">
        <f>MAX(C166:C171)</f>
        <v>0</v>
      </c>
      <c r="G166" s="111" t="e">
        <f>STDEV(C166:C171)*100/D166</f>
        <v>#DIV/0!</v>
      </c>
      <c r="H166" s="5"/>
      <c r="I166" s="11"/>
      <c r="J166" s="50" t="str">
        <f t="shared" ref="J166" si="116">IF(B166="","",B166/$B$27*$E$19/$F$19*$G$19/$H$19*$C$35/$B$35*$A$35/$F$22*$B$19*$C$19/$D$19*$A$32/$B$32)</f>
        <v/>
      </c>
      <c r="K166" s="50" t="str">
        <f t="shared" si="53"/>
        <v/>
      </c>
      <c r="L166" s="67" t="str">
        <f t="shared" si="66"/>
        <v/>
      </c>
    </row>
    <row r="167" spans="1:12" ht="15" customHeight="1" x14ac:dyDescent="0.25">
      <c r="A167" s="89"/>
      <c r="B167" s="58"/>
      <c r="C167" s="68" t="str">
        <f t="shared" si="61"/>
        <v/>
      </c>
      <c r="D167" s="92"/>
      <c r="E167" s="92"/>
      <c r="F167" s="92"/>
      <c r="G167" s="111"/>
      <c r="H167" s="5"/>
      <c r="I167" s="11"/>
      <c r="J167" s="50" t="str">
        <f t="shared" ref="J167" si="117">IF(B167="","",B167/$B$27*$E$19/$F$19*$G$19/$H$19*$C$35/$B$35*$A$35/$F$23*$B$19*$C$19/$D$19*$A$32/$B$32)</f>
        <v/>
      </c>
      <c r="K167" s="50" t="str">
        <f t="shared" si="53"/>
        <v/>
      </c>
      <c r="L167" s="67" t="str">
        <f t="shared" si="66"/>
        <v/>
      </c>
    </row>
    <row r="168" spans="1:12" ht="15" customHeight="1" x14ac:dyDescent="0.25">
      <c r="A168" s="89"/>
      <c r="B168" s="58"/>
      <c r="C168" s="71" t="str">
        <f t="shared" si="61"/>
        <v/>
      </c>
      <c r="D168" s="92"/>
      <c r="E168" s="92"/>
      <c r="F168" s="92"/>
      <c r="G168" s="111"/>
      <c r="H168" s="5"/>
      <c r="I168" s="11"/>
      <c r="J168" s="50" t="str">
        <f t="shared" ref="J168" si="118">IF(B168="","",B168/$B$27*$E$19/$F$19*$G$19/$H$19*$C$35/$B$35*$A$35/$F$24*$B$19*$C$19/$D$19*$A$32/$B$32)</f>
        <v/>
      </c>
      <c r="K168" s="50" t="str">
        <f t="shared" si="53"/>
        <v/>
      </c>
      <c r="L168" s="67" t="str">
        <f t="shared" si="66"/>
        <v/>
      </c>
    </row>
    <row r="169" spans="1:12" ht="15" customHeight="1" x14ac:dyDescent="0.25">
      <c r="A169" s="89"/>
      <c r="B169" s="58"/>
      <c r="C169" s="68" t="str">
        <f t="shared" si="61"/>
        <v/>
      </c>
      <c r="D169" s="92"/>
      <c r="E169" s="92"/>
      <c r="F169" s="92"/>
      <c r="G169" s="111"/>
      <c r="H169" s="5"/>
      <c r="I169" s="11"/>
      <c r="J169" s="50" t="str">
        <f t="shared" ref="J169" si="119">IF(B169="","",B169/$B$27*$E$19/$F$19*$G$19/$H$19*$C$35/$B$35*$A$35/$F$25*$B$19*$C$19/$D$19*$A$32/$B$32)</f>
        <v/>
      </c>
      <c r="K169" s="50" t="str">
        <f t="shared" ref="K169:K189" si="120">IF(J169="","",J169*$A$37/$A$35)</f>
        <v/>
      </c>
      <c r="L169" s="67" t="str">
        <f t="shared" si="66"/>
        <v/>
      </c>
    </row>
    <row r="170" spans="1:12" ht="15" customHeight="1" x14ac:dyDescent="0.25">
      <c r="A170" s="89"/>
      <c r="B170" s="58"/>
      <c r="C170" s="68" t="str">
        <f t="shared" si="61"/>
        <v/>
      </c>
      <c r="D170" s="92"/>
      <c r="E170" s="92"/>
      <c r="F170" s="92"/>
      <c r="G170" s="111"/>
      <c r="H170" s="5"/>
      <c r="I170" s="11"/>
      <c r="J170" s="50" t="str">
        <f t="shared" ref="J170" si="121">IF(B170="","",B170/$B$27*$E$19/$F$19*$G$19/$H$19*$C$35/$B$35*$A$35/$F$26*$B$19*$C$19/$D$19*$A$32/$B$32)</f>
        <v/>
      </c>
      <c r="K170" s="50" t="str">
        <f t="shared" si="120"/>
        <v/>
      </c>
      <c r="L170" s="67" t="str">
        <f t="shared" si="66"/>
        <v/>
      </c>
    </row>
    <row r="171" spans="1:12" ht="15" customHeight="1" x14ac:dyDescent="0.25">
      <c r="A171" s="90"/>
      <c r="B171" s="58"/>
      <c r="C171" s="71" t="str">
        <f t="shared" si="61"/>
        <v/>
      </c>
      <c r="D171" s="93"/>
      <c r="E171" s="93"/>
      <c r="F171" s="93"/>
      <c r="G171" s="111"/>
      <c r="H171" s="5"/>
      <c r="I171" s="11"/>
      <c r="J171" s="50" t="str">
        <f t="shared" ref="J171" si="122">IF(B171="","",B171/$B$27*$E$19/$F$19*$G$19/$H$19*$C$35/$B$35*$A$35/$F$27*$B$19*$C$19/$D$19*$A$32/$B$32)</f>
        <v/>
      </c>
      <c r="K171" s="50" t="str">
        <f t="shared" si="120"/>
        <v/>
      </c>
      <c r="L171" s="67" t="str">
        <f t="shared" si="66"/>
        <v/>
      </c>
    </row>
    <row r="172" spans="1:12" ht="15" customHeight="1" x14ac:dyDescent="0.25">
      <c r="A172" s="88"/>
      <c r="B172" s="58"/>
      <c r="C172" s="68" t="str">
        <f t="shared" si="61"/>
        <v/>
      </c>
      <c r="D172" s="91" t="e">
        <f>AVERAGE(C172:C177)</f>
        <v>#DIV/0!</v>
      </c>
      <c r="E172" s="91">
        <f>MIN(C172:C177)</f>
        <v>0</v>
      </c>
      <c r="F172" s="91">
        <f>MAX(C172:C177)</f>
        <v>0</v>
      </c>
      <c r="G172" s="111" t="e">
        <f>STDEV(C172:C177)*100/D172</f>
        <v>#DIV/0!</v>
      </c>
      <c r="H172" s="5"/>
      <c r="I172" s="11"/>
      <c r="J172" s="50" t="str">
        <f t="shared" ref="J172" si="123">IF(B172="","",B172/$B$27*$E$19/$F$19*$G$19/$H$19*$C$35/$B$35*$A$35/$F$22*$B$19*$C$19/$D$19*$A$32/$B$32)</f>
        <v/>
      </c>
      <c r="K172" s="50" t="str">
        <f t="shared" si="120"/>
        <v/>
      </c>
      <c r="L172" s="67" t="str">
        <f t="shared" si="66"/>
        <v/>
      </c>
    </row>
    <row r="173" spans="1:12" ht="15" customHeight="1" x14ac:dyDescent="0.25">
      <c r="A173" s="89"/>
      <c r="B173" s="58"/>
      <c r="C173" s="68" t="str">
        <f t="shared" si="61"/>
        <v/>
      </c>
      <c r="D173" s="92"/>
      <c r="E173" s="92"/>
      <c r="F173" s="92"/>
      <c r="G173" s="111"/>
      <c r="H173" s="5"/>
      <c r="I173" s="11"/>
      <c r="J173" s="50" t="str">
        <f t="shared" ref="J173" si="124">IF(B173="","",B173/$B$27*$E$19/$F$19*$G$19/$H$19*$C$35/$B$35*$A$35/$F$23*$B$19*$C$19/$D$19*$A$32/$B$32)</f>
        <v/>
      </c>
      <c r="K173" s="50" t="str">
        <f t="shared" si="120"/>
        <v/>
      </c>
      <c r="L173" s="67" t="str">
        <f t="shared" si="66"/>
        <v/>
      </c>
    </row>
    <row r="174" spans="1:12" ht="15" customHeight="1" x14ac:dyDescent="0.25">
      <c r="A174" s="89"/>
      <c r="B174" s="58"/>
      <c r="C174" s="71" t="str">
        <f t="shared" si="61"/>
        <v/>
      </c>
      <c r="D174" s="92"/>
      <c r="E174" s="92"/>
      <c r="F174" s="92"/>
      <c r="G174" s="111"/>
      <c r="H174" s="5"/>
      <c r="I174" s="11"/>
      <c r="J174" s="50" t="str">
        <f t="shared" ref="J174" si="125">IF(B174="","",B174/$B$27*$E$19/$F$19*$G$19/$H$19*$C$35/$B$35*$A$35/$F$24*$B$19*$C$19/$D$19*$A$32/$B$32)</f>
        <v/>
      </c>
      <c r="K174" s="50" t="str">
        <f t="shared" si="120"/>
        <v/>
      </c>
      <c r="L174" s="67" t="str">
        <f t="shared" si="66"/>
        <v/>
      </c>
    </row>
    <row r="175" spans="1:12" ht="15" customHeight="1" x14ac:dyDescent="0.25">
      <c r="A175" s="89"/>
      <c r="B175" s="58"/>
      <c r="C175" s="68" t="str">
        <f t="shared" si="61"/>
        <v/>
      </c>
      <c r="D175" s="92"/>
      <c r="E175" s="92"/>
      <c r="F175" s="92"/>
      <c r="G175" s="111"/>
      <c r="H175" s="5"/>
      <c r="I175" s="11"/>
      <c r="J175" s="50" t="str">
        <f t="shared" ref="J175" si="126">IF(B175="","",B175/$B$27*$E$19/$F$19*$G$19/$H$19*$C$35/$B$35*$A$35/$F$25*$B$19*$C$19/$D$19*$A$32/$B$32)</f>
        <v/>
      </c>
      <c r="K175" s="50" t="str">
        <f t="shared" si="120"/>
        <v/>
      </c>
      <c r="L175" s="67" t="str">
        <f t="shared" si="66"/>
        <v/>
      </c>
    </row>
    <row r="176" spans="1:12" ht="15" customHeight="1" x14ac:dyDescent="0.25">
      <c r="A176" s="89"/>
      <c r="B176" s="58"/>
      <c r="C176" s="68" t="str">
        <f t="shared" si="61"/>
        <v/>
      </c>
      <c r="D176" s="92"/>
      <c r="E176" s="92"/>
      <c r="F176" s="92"/>
      <c r="G176" s="111"/>
      <c r="H176" s="5"/>
      <c r="I176" s="11"/>
      <c r="J176" s="50" t="str">
        <f t="shared" ref="J176" si="127">IF(B176="","",B176/$B$27*$E$19/$F$19*$G$19/$H$19*$C$35/$B$35*$A$35/$F$26*$B$19*$C$19/$D$19*$A$32/$B$32)</f>
        <v/>
      </c>
      <c r="K176" s="50" t="str">
        <f t="shared" si="120"/>
        <v/>
      </c>
      <c r="L176" s="67" t="str">
        <f t="shared" si="66"/>
        <v/>
      </c>
    </row>
    <row r="177" spans="1:12" ht="15" customHeight="1" x14ac:dyDescent="0.25">
      <c r="A177" s="90"/>
      <c r="B177" s="58"/>
      <c r="C177" s="71" t="str">
        <f t="shared" ref="C177:C189" si="128">IF(J177="","",J177+L177)</f>
        <v/>
      </c>
      <c r="D177" s="93"/>
      <c r="E177" s="93"/>
      <c r="F177" s="93"/>
      <c r="G177" s="111"/>
      <c r="H177" s="5"/>
      <c r="I177" s="11"/>
      <c r="J177" s="50" t="str">
        <f t="shared" ref="J177" si="129">IF(B177="","",B177/$B$27*$E$19/$F$19*$G$19/$H$19*$C$35/$B$35*$A$35/$F$27*$B$19*$C$19/$D$19*$A$32/$B$32)</f>
        <v/>
      </c>
      <c r="K177" s="50" t="str">
        <f t="shared" si="120"/>
        <v/>
      </c>
      <c r="L177" s="67" t="str">
        <f t="shared" si="66"/>
        <v/>
      </c>
    </row>
    <row r="178" spans="1:12" ht="15" customHeight="1" x14ac:dyDescent="0.25">
      <c r="A178" s="88"/>
      <c r="B178" s="58"/>
      <c r="C178" s="68" t="str">
        <f t="shared" si="128"/>
        <v/>
      </c>
      <c r="D178" s="91" t="e">
        <f>AVERAGE(C178:C183)</f>
        <v>#DIV/0!</v>
      </c>
      <c r="E178" s="91">
        <f>MIN(C178:C183)</f>
        <v>0</v>
      </c>
      <c r="F178" s="91">
        <f>MAX(C178:C183)</f>
        <v>0</v>
      </c>
      <c r="G178" s="111" t="e">
        <f>STDEV(C178:C183)*100/D178</f>
        <v>#DIV/0!</v>
      </c>
      <c r="H178" s="5"/>
      <c r="I178" s="11"/>
      <c r="J178" s="50" t="str">
        <f t="shared" ref="J178" si="130">IF(B178="","",B178/$B$27*$E$19/$F$19*$G$19/$H$19*$C$35/$B$35*$A$35/$F$22*$B$19*$C$19/$D$19*$A$32/$B$32)</f>
        <v/>
      </c>
      <c r="K178" s="50" t="str">
        <f t="shared" si="120"/>
        <v/>
      </c>
      <c r="L178" s="67" t="str">
        <f t="shared" si="66"/>
        <v/>
      </c>
    </row>
    <row r="179" spans="1:12" ht="15" customHeight="1" x14ac:dyDescent="0.25">
      <c r="A179" s="89"/>
      <c r="B179" s="58"/>
      <c r="C179" s="68" t="str">
        <f t="shared" si="128"/>
        <v/>
      </c>
      <c r="D179" s="92"/>
      <c r="E179" s="92"/>
      <c r="F179" s="92"/>
      <c r="G179" s="111"/>
      <c r="H179" s="5"/>
      <c r="I179" s="11"/>
      <c r="J179" s="50" t="str">
        <f t="shared" ref="J179" si="131">IF(B179="","",B179/$B$27*$E$19/$F$19*$G$19/$H$19*$C$35/$B$35*$A$35/$F$23*$B$19*$C$19/$D$19*$A$32/$B$32)</f>
        <v/>
      </c>
      <c r="K179" s="50" t="str">
        <f t="shared" si="120"/>
        <v/>
      </c>
      <c r="L179" s="67" t="str">
        <f t="shared" si="66"/>
        <v/>
      </c>
    </row>
    <row r="180" spans="1:12" ht="15" customHeight="1" x14ac:dyDescent="0.25">
      <c r="A180" s="89"/>
      <c r="B180" s="58"/>
      <c r="C180" s="71" t="str">
        <f t="shared" si="128"/>
        <v/>
      </c>
      <c r="D180" s="92"/>
      <c r="E180" s="92"/>
      <c r="F180" s="92"/>
      <c r="G180" s="111"/>
      <c r="H180" s="5"/>
      <c r="I180" s="11"/>
      <c r="J180" s="50" t="str">
        <f t="shared" ref="J180" si="132">IF(B180="","",B180/$B$27*$E$19/$F$19*$G$19/$H$19*$C$35/$B$35*$A$35/$F$24*$B$19*$C$19/$D$19*$A$32/$B$32)</f>
        <v/>
      </c>
      <c r="K180" s="50" t="str">
        <f t="shared" si="120"/>
        <v/>
      </c>
      <c r="L180" s="67" t="str">
        <f t="shared" ref="L180:L189" si="133">IF(K174="","",K174+L174)</f>
        <v/>
      </c>
    </row>
    <row r="181" spans="1:12" ht="15" customHeight="1" x14ac:dyDescent="0.25">
      <c r="A181" s="89"/>
      <c r="B181" s="58"/>
      <c r="C181" s="68" t="str">
        <f t="shared" si="128"/>
        <v/>
      </c>
      <c r="D181" s="92"/>
      <c r="E181" s="92"/>
      <c r="F181" s="92"/>
      <c r="G181" s="111"/>
      <c r="H181" s="5"/>
      <c r="I181" s="11"/>
      <c r="J181" s="50" t="str">
        <f t="shared" ref="J181" si="134">IF(B181="","",B181/$B$27*$E$19/$F$19*$G$19/$H$19*$C$35/$B$35*$A$35/$F$25*$B$19*$C$19/$D$19*$A$32/$B$32)</f>
        <v/>
      </c>
      <c r="K181" s="50" t="str">
        <f t="shared" si="120"/>
        <v/>
      </c>
      <c r="L181" s="67" t="str">
        <f t="shared" si="133"/>
        <v/>
      </c>
    </row>
    <row r="182" spans="1:12" ht="15" customHeight="1" x14ac:dyDescent="0.25">
      <c r="A182" s="89"/>
      <c r="B182" s="58"/>
      <c r="C182" s="68" t="str">
        <f t="shared" si="128"/>
        <v/>
      </c>
      <c r="D182" s="92"/>
      <c r="E182" s="92"/>
      <c r="F182" s="92"/>
      <c r="G182" s="111"/>
      <c r="H182" s="5"/>
      <c r="I182" s="11"/>
      <c r="J182" s="50" t="str">
        <f t="shared" ref="J182" si="135">IF(B182="","",B182/$B$27*$E$19/$F$19*$G$19/$H$19*$C$35/$B$35*$A$35/$F$26*$B$19*$C$19/$D$19*$A$32/$B$32)</f>
        <v/>
      </c>
      <c r="K182" s="50" t="str">
        <f t="shared" si="120"/>
        <v/>
      </c>
      <c r="L182" s="67" t="str">
        <f t="shared" si="133"/>
        <v/>
      </c>
    </row>
    <row r="183" spans="1:12" ht="15" customHeight="1" x14ac:dyDescent="0.25">
      <c r="A183" s="90"/>
      <c r="B183" s="58"/>
      <c r="C183" s="71" t="str">
        <f t="shared" si="128"/>
        <v/>
      </c>
      <c r="D183" s="93"/>
      <c r="E183" s="93"/>
      <c r="F183" s="93"/>
      <c r="G183" s="111"/>
      <c r="H183" s="5"/>
      <c r="I183" s="11"/>
      <c r="J183" s="50" t="str">
        <f t="shared" ref="J183" si="136">IF(B183="","",B183/$B$27*$E$19/$F$19*$G$19/$H$19*$C$35/$B$35*$A$35/$F$27*$B$19*$C$19/$D$19*$A$32/$B$32)</f>
        <v/>
      </c>
      <c r="K183" s="50" t="str">
        <f t="shared" si="120"/>
        <v/>
      </c>
      <c r="L183" s="67" t="str">
        <f t="shared" si="133"/>
        <v/>
      </c>
    </row>
    <row r="184" spans="1:12" ht="15" customHeight="1" x14ac:dyDescent="0.25">
      <c r="A184" s="88"/>
      <c r="B184" s="58"/>
      <c r="C184" s="68" t="str">
        <f t="shared" si="128"/>
        <v/>
      </c>
      <c r="D184" s="91" t="e">
        <f>AVERAGE(C184:C189)</f>
        <v>#DIV/0!</v>
      </c>
      <c r="E184" s="91">
        <f>MIN(C184:C189)</f>
        <v>0</v>
      </c>
      <c r="F184" s="91">
        <f>MAX(C184:C189)</f>
        <v>0</v>
      </c>
      <c r="G184" s="111" t="e">
        <f>STDEV(C184:C189)*100/D184</f>
        <v>#DIV/0!</v>
      </c>
      <c r="H184" s="5"/>
      <c r="I184" s="11"/>
      <c r="J184" s="50" t="str">
        <f t="shared" ref="J184" si="137">IF(B184="","",B184/$B$27*$E$19/$F$19*$G$19/$H$19*$C$35/$B$35*$A$35/$F$22*$B$19*$C$19/$D$19*$A$32/$B$32)</f>
        <v/>
      </c>
      <c r="K184" s="50" t="str">
        <f t="shared" si="120"/>
        <v/>
      </c>
      <c r="L184" s="67" t="str">
        <f t="shared" si="133"/>
        <v/>
      </c>
    </row>
    <row r="185" spans="1:12" ht="15" customHeight="1" x14ac:dyDescent="0.25">
      <c r="A185" s="89"/>
      <c r="B185" s="58"/>
      <c r="C185" s="68" t="str">
        <f t="shared" si="128"/>
        <v/>
      </c>
      <c r="D185" s="92"/>
      <c r="E185" s="92"/>
      <c r="F185" s="92"/>
      <c r="G185" s="111"/>
      <c r="H185" s="5"/>
      <c r="I185" s="11"/>
      <c r="J185" s="50" t="str">
        <f t="shared" ref="J185" si="138">IF(B185="","",B185/$B$27*$E$19/$F$19*$G$19/$H$19*$C$35/$B$35*$A$35/$F$23*$B$19*$C$19/$D$19*$A$32/$B$32)</f>
        <v/>
      </c>
      <c r="K185" s="50" t="str">
        <f t="shared" si="120"/>
        <v/>
      </c>
      <c r="L185" s="67" t="str">
        <f t="shared" si="133"/>
        <v/>
      </c>
    </row>
    <row r="186" spans="1:12" ht="15" customHeight="1" x14ac:dyDescent="0.25">
      <c r="A186" s="89"/>
      <c r="B186" s="58"/>
      <c r="C186" s="71" t="str">
        <f t="shared" si="128"/>
        <v/>
      </c>
      <c r="D186" s="92"/>
      <c r="E186" s="92"/>
      <c r="F186" s="92"/>
      <c r="G186" s="111"/>
      <c r="H186" s="5"/>
      <c r="I186" s="11"/>
      <c r="J186" s="50" t="str">
        <f t="shared" ref="J186" si="139">IF(B186="","",B186/$B$27*$E$19/$F$19*$G$19/$H$19*$C$35/$B$35*$A$35/$F$24*$B$19*$C$19/$D$19*$A$32/$B$32)</f>
        <v/>
      </c>
      <c r="K186" s="50" t="str">
        <f t="shared" si="120"/>
        <v/>
      </c>
      <c r="L186" s="67" t="str">
        <f t="shared" si="133"/>
        <v/>
      </c>
    </row>
    <row r="187" spans="1:12" ht="15" customHeight="1" x14ac:dyDescent="0.25">
      <c r="A187" s="89"/>
      <c r="B187" s="58"/>
      <c r="C187" s="68" t="str">
        <f t="shared" si="128"/>
        <v/>
      </c>
      <c r="D187" s="92"/>
      <c r="E187" s="92"/>
      <c r="F187" s="92"/>
      <c r="G187" s="111"/>
      <c r="H187" s="5"/>
      <c r="I187" s="11"/>
      <c r="J187" s="50" t="str">
        <f t="shared" ref="J187" si="140">IF(B187="","",B187/$B$27*$E$19/$F$19*$G$19/$H$19*$C$35/$B$35*$A$35/$F$25*$B$19*$C$19/$D$19*$A$32/$B$32)</f>
        <v/>
      </c>
      <c r="K187" s="50" t="str">
        <f t="shared" si="120"/>
        <v/>
      </c>
      <c r="L187" s="67" t="str">
        <f t="shared" si="133"/>
        <v/>
      </c>
    </row>
    <row r="188" spans="1:12" ht="15" customHeight="1" x14ac:dyDescent="0.25">
      <c r="A188" s="89"/>
      <c r="B188" s="58"/>
      <c r="C188" s="68" t="str">
        <f t="shared" si="128"/>
        <v/>
      </c>
      <c r="D188" s="92"/>
      <c r="E188" s="92"/>
      <c r="F188" s="92"/>
      <c r="G188" s="111"/>
      <c r="H188" s="5"/>
      <c r="I188" s="11"/>
      <c r="J188" s="50" t="str">
        <f t="shared" ref="J188" si="141">IF(B188="","",B188/$B$27*$E$19/$F$19*$G$19/$H$19*$C$35/$B$35*$A$35/$F$26*$B$19*$C$19/$D$19*$A$32/$B$32)</f>
        <v/>
      </c>
      <c r="K188" s="50" t="str">
        <f t="shared" si="120"/>
        <v/>
      </c>
      <c r="L188" s="67" t="str">
        <f t="shared" si="133"/>
        <v/>
      </c>
    </row>
    <row r="189" spans="1:12" ht="15" customHeight="1" x14ac:dyDescent="0.25">
      <c r="A189" s="90"/>
      <c r="B189" s="58"/>
      <c r="C189" s="71" t="str">
        <f t="shared" si="128"/>
        <v/>
      </c>
      <c r="D189" s="93"/>
      <c r="E189" s="93"/>
      <c r="F189" s="93"/>
      <c r="G189" s="111"/>
      <c r="H189" s="5"/>
      <c r="I189" s="11"/>
      <c r="J189" s="50" t="str">
        <f t="shared" ref="J189" si="142">IF(B189="","",B189/$B$27*$E$19/$F$19*$G$19/$H$19*$C$35/$B$35*$A$35/$F$27*$B$19*$C$19/$D$19*$A$32/$B$32)</f>
        <v/>
      </c>
      <c r="K189" s="50" t="str">
        <f t="shared" si="120"/>
        <v/>
      </c>
      <c r="L189" s="67" t="str">
        <f t="shared" si="133"/>
        <v/>
      </c>
    </row>
    <row r="190" spans="1:12" x14ac:dyDescent="0.25">
      <c r="A190" s="10"/>
      <c r="B190" s="42"/>
      <c r="C190" s="52"/>
      <c r="D190" s="5"/>
      <c r="E190" s="5"/>
      <c r="F190" s="5"/>
      <c r="G190" s="5"/>
      <c r="H190" s="5"/>
      <c r="I190" s="11"/>
    </row>
    <row r="191" spans="1:12" s="4" customFormat="1" x14ac:dyDescent="0.25">
      <c r="A191" s="32" t="s">
        <v>39</v>
      </c>
      <c r="B191" s="33"/>
      <c r="C191" s="34"/>
      <c r="D191" s="39"/>
      <c r="E191" s="35" t="s">
        <v>40</v>
      </c>
      <c r="F191" s="115"/>
      <c r="G191" s="116"/>
      <c r="H191" s="5"/>
      <c r="I191" s="11"/>
    </row>
    <row r="192" spans="1:12" s="4" customFormat="1" x14ac:dyDescent="0.25">
      <c r="A192" s="32" t="s">
        <v>41</v>
      </c>
      <c r="B192" s="36"/>
      <c r="C192" s="37"/>
      <c r="D192" s="39"/>
      <c r="E192" s="35" t="s">
        <v>41</v>
      </c>
      <c r="F192" s="115"/>
      <c r="G192" s="116"/>
      <c r="H192" s="5"/>
      <c r="I192" s="11"/>
    </row>
    <row r="193" spans="1:9" ht="15.75" thickBot="1" x14ac:dyDescent="0.3">
      <c r="A193" s="53"/>
      <c r="B193" s="54"/>
      <c r="C193" s="55"/>
      <c r="D193" s="54"/>
      <c r="E193" s="54"/>
      <c r="F193" s="54"/>
      <c r="G193" s="54"/>
      <c r="H193" s="54"/>
      <c r="I193" s="56"/>
    </row>
  </sheetData>
  <mergeCells count="146">
    <mergeCell ref="F191:G191"/>
    <mergeCell ref="F192:G192"/>
    <mergeCell ref="A178:A183"/>
    <mergeCell ref="D178:D183"/>
    <mergeCell ref="E178:E183"/>
    <mergeCell ref="F178:F183"/>
    <mergeCell ref="G178:G183"/>
    <mergeCell ref="A184:A189"/>
    <mergeCell ref="D184:D189"/>
    <mergeCell ref="E184:E189"/>
    <mergeCell ref="F184:F189"/>
    <mergeCell ref="G184:G189"/>
    <mergeCell ref="A166:A171"/>
    <mergeCell ref="D166:D171"/>
    <mergeCell ref="E166:E171"/>
    <mergeCell ref="F166:F171"/>
    <mergeCell ref="G166:G171"/>
    <mergeCell ref="A172:A177"/>
    <mergeCell ref="D172:D177"/>
    <mergeCell ref="E172:E177"/>
    <mergeCell ref="F172:F177"/>
    <mergeCell ref="G172:G177"/>
    <mergeCell ref="A154:A159"/>
    <mergeCell ref="D154:D159"/>
    <mergeCell ref="E154:E159"/>
    <mergeCell ref="F154:F159"/>
    <mergeCell ref="G154:G159"/>
    <mergeCell ref="A160:A165"/>
    <mergeCell ref="D160:D165"/>
    <mergeCell ref="E160:E165"/>
    <mergeCell ref="F160:F165"/>
    <mergeCell ref="G160:G165"/>
    <mergeCell ref="A142:A147"/>
    <mergeCell ref="D142:D147"/>
    <mergeCell ref="E142:E147"/>
    <mergeCell ref="F142:F147"/>
    <mergeCell ref="G142:G147"/>
    <mergeCell ref="A148:A153"/>
    <mergeCell ref="D148:D153"/>
    <mergeCell ref="E148:E153"/>
    <mergeCell ref="F148:F153"/>
    <mergeCell ref="G148:G153"/>
    <mergeCell ref="A130:A135"/>
    <mergeCell ref="D130:D135"/>
    <mergeCell ref="E130:E135"/>
    <mergeCell ref="F130:F135"/>
    <mergeCell ref="G130:G135"/>
    <mergeCell ref="A136:A141"/>
    <mergeCell ref="D136:D141"/>
    <mergeCell ref="E136:E141"/>
    <mergeCell ref="F136:F141"/>
    <mergeCell ref="G136:G141"/>
    <mergeCell ref="A118:A123"/>
    <mergeCell ref="D118:D123"/>
    <mergeCell ref="E118:E123"/>
    <mergeCell ref="F118:F123"/>
    <mergeCell ref="G118:G123"/>
    <mergeCell ref="A124:A129"/>
    <mergeCell ref="D124:D129"/>
    <mergeCell ref="E124:E129"/>
    <mergeCell ref="F124:F129"/>
    <mergeCell ref="G124:G129"/>
    <mergeCell ref="A106:A111"/>
    <mergeCell ref="D106:D111"/>
    <mergeCell ref="E106:E111"/>
    <mergeCell ref="F106:F111"/>
    <mergeCell ref="G106:G111"/>
    <mergeCell ref="A112:A117"/>
    <mergeCell ref="D112:D117"/>
    <mergeCell ref="E112:E117"/>
    <mergeCell ref="F112:F117"/>
    <mergeCell ref="G112:G117"/>
    <mergeCell ref="A94:A99"/>
    <mergeCell ref="D94:D99"/>
    <mergeCell ref="E94:E99"/>
    <mergeCell ref="F94:F99"/>
    <mergeCell ref="G94:G99"/>
    <mergeCell ref="A100:A105"/>
    <mergeCell ref="D100:D105"/>
    <mergeCell ref="E100:E105"/>
    <mergeCell ref="F100:F105"/>
    <mergeCell ref="G100:G105"/>
    <mergeCell ref="A82:A87"/>
    <mergeCell ref="D82:D87"/>
    <mergeCell ref="E82:E87"/>
    <mergeCell ref="F82:F87"/>
    <mergeCell ref="G82:G87"/>
    <mergeCell ref="A88:A93"/>
    <mergeCell ref="D88:D93"/>
    <mergeCell ref="E88:E93"/>
    <mergeCell ref="F88:F93"/>
    <mergeCell ref="G88:G93"/>
    <mergeCell ref="A70:A75"/>
    <mergeCell ref="D70:D75"/>
    <mergeCell ref="E70:E75"/>
    <mergeCell ref="F70:F75"/>
    <mergeCell ref="G70:G75"/>
    <mergeCell ref="A76:A81"/>
    <mergeCell ref="D76:D81"/>
    <mergeCell ref="E76:E81"/>
    <mergeCell ref="F76:F81"/>
    <mergeCell ref="G76:G81"/>
    <mergeCell ref="A58:A63"/>
    <mergeCell ref="D58:D63"/>
    <mergeCell ref="E58:E63"/>
    <mergeCell ref="F58:F63"/>
    <mergeCell ref="G58:G63"/>
    <mergeCell ref="A64:A69"/>
    <mergeCell ref="D64:D69"/>
    <mergeCell ref="E64:E69"/>
    <mergeCell ref="F64:F69"/>
    <mergeCell ref="G64:G69"/>
    <mergeCell ref="A46:A51"/>
    <mergeCell ref="D46:D51"/>
    <mergeCell ref="E46:E51"/>
    <mergeCell ref="F46:F51"/>
    <mergeCell ref="G46:G51"/>
    <mergeCell ref="A52:A57"/>
    <mergeCell ref="D52:D57"/>
    <mergeCell ref="E52:E57"/>
    <mergeCell ref="F52:F57"/>
    <mergeCell ref="G52:G57"/>
    <mergeCell ref="J38:K38"/>
    <mergeCell ref="A40:A45"/>
    <mergeCell ref="D40:D45"/>
    <mergeCell ref="E40:E45"/>
    <mergeCell ref="F40:F45"/>
    <mergeCell ref="G40:G45"/>
    <mergeCell ref="B14:I14"/>
    <mergeCell ref="B15:I15"/>
    <mergeCell ref="A17:I17"/>
    <mergeCell ref="H21:I21"/>
    <mergeCell ref="H26:I26"/>
    <mergeCell ref="H27:I36"/>
    <mergeCell ref="B8:I8"/>
    <mergeCell ref="B9:I9"/>
    <mergeCell ref="B10:H10"/>
    <mergeCell ref="B11:I11"/>
    <mergeCell ref="B12:I12"/>
    <mergeCell ref="B13:I13"/>
    <mergeCell ref="A2:I2"/>
    <mergeCell ref="A3:I3"/>
    <mergeCell ref="A4:I4"/>
    <mergeCell ref="B5:I5"/>
    <mergeCell ref="B6:I6"/>
    <mergeCell ref="B7:I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r:id="rId1"/>
  <headerFooter>
    <oddFooter>&amp;L&amp;Z&amp;F</oddFooter>
  </headerFooter>
  <rowBreaks count="1" manualBreakCount="1">
    <brk id="12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ZEG0572A</vt:lpstr>
      <vt:lpstr>ZEG0572A!Print_Area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2026-06-24T09:46:14Z</dcterms:modified>
</cp:coreProperties>
</file>