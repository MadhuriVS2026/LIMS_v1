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31.104.15\Analytical NDDS_1\Protamine Sulfate\Analysis\Gross contain\"/>
    </mc:Choice>
  </mc:AlternateContent>
  <bookViews>
    <workbookView xWindow="0" yWindow="0" windowWidth="28800" windowHeight="12180"/>
  </bookViews>
  <sheets>
    <sheet name="INITI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4" l="1"/>
  <c r="G14" i="4"/>
  <c r="G15" i="4"/>
  <c r="G13" i="4"/>
  <c r="H7" i="4" l="1"/>
  <c r="H15" i="4" s="1"/>
  <c r="H22" i="4" l="1"/>
  <c r="H13" i="4"/>
  <c r="H14" i="4"/>
  <c r="H16" i="4" l="1"/>
</calcChain>
</file>

<file path=xl/sharedStrings.xml><?xml version="1.0" encoding="utf-8"?>
<sst xmlns="http://schemas.openxmlformats.org/spreadsheetml/2006/main" count="41" uniqueCount="21">
  <si>
    <t xml:space="preserve">Analysed by </t>
  </si>
  <si>
    <t>Date</t>
  </si>
  <si>
    <t>TRF No.</t>
  </si>
  <si>
    <t xml:space="preserve">AR No </t>
  </si>
  <si>
    <t>Batch No</t>
  </si>
  <si>
    <t>NA</t>
  </si>
  <si>
    <t>Protamine Sulfate Injection USP 50mg/5mL</t>
  </si>
  <si>
    <t>ES23T008</t>
  </si>
  <si>
    <t>W1 - W2</t>
  </si>
  <si>
    <t>wt of Individual empty container (g) (W2)</t>
  </si>
  <si>
    <t>wt of filled individual container (g) (W1)</t>
  </si>
  <si>
    <t>Protamine Sulfate Injection USP 250mg/25mL</t>
  </si>
  <si>
    <t>wt of filled individual container (g)               (W1)</t>
  </si>
  <si>
    <t>Protamine Sulfate Injection USP</t>
  </si>
  <si>
    <t>Average</t>
  </si>
  <si>
    <t>wt of pycnometer
 + Sample (g) (W1)</t>
  </si>
  <si>
    <t>wt of pycnometer
 + Water (g) (W2)</t>
  </si>
  <si>
    <t>wt of pycnometer
 (g)  (W)</t>
  </si>
  <si>
    <r>
      <t>weight per ml
                  =   (</t>
    </r>
    <r>
      <rPr>
        <b/>
        <u/>
        <sz val="12"/>
        <color theme="1"/>
        <rFont val="Times New Roman"/>
        <family val="1"/>
      </rPr>
      <t xml:space="preserve">W1-W)  </t>
    </r>
    <r>
      <rPr>
        <b/>
        <sz val="12"/>
        <color theme="1"/>
        <rFont val="Times New Roman"/>
        <family val="1"/>
      </rPr>
      <t xml:space="preserve"> *0.997043
(W2-W)</t>
    </r>
  </si>
  <si>
    <t>Gross Content  (in mL)</t>
  </si>
  <si>
    <t>Gross Content   (in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</si>
</sst>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1" fillId="0" borderId="11" xfId="0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Border="1"/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7"/>
  <sheetViews>
    <sheetView tabSelected="1" zoomScale="80" zoomScaleNormal="80" workbookViewId="0">
      <selection activeCell="R14" sqref="R14"/>
    </sheetView>
  </sheetViews>
  <sheetFormatPr defaultRowHeight="15" x14ac:dyDescent="0.25"/>
  <cols>
    <col min="2" max="2" width="40.42578125" bestFit="1" customWidth="1"/>
    <col min="3" max="3" width="18.42578125" hidden="1" customWidth="1"/>
    <col min="4" max="4" width="21" hidden="1" customWidth="1"/>
    <col min="5" max="5" width="31.5703125" customWidth="1"/>
    <col min="6" max="6" width="21.28515625" customWidth="1"/>
    <col min="7" max="7" width="17.5703125" customWidth="1"/>
    <col min="8" max="8" width="42.5703125" customWidth="1"/>
    <col min="10" max="10" width="9.140625" style="1"/>
  </cols>
  <sheetData>
    <row r="2" spans="2:8" ht="15.75" thickBot="1" x14ac:dyDescent="0.3"/>
    <row r="3" spans="2:8" x14ac:dyDescent="0.25">
      <c r="B3" s="17" t="s">
        <v>13</v>
      </c>
      <c r="C3" s="18"/>
      <c r="D3" s="18"/>
      <c r="E3" s="18"/>
      <c r="F3" s="18"/>
      <c r="G3" s="18"/>
      <c r="H3" s="19"/>
    </row>
    <row r="4" spans="2:8" ht="15" customHeight="1" x14ac:dyDescent="0.25">
      <c r="B4" s="20"/>
      <c r="C4" s="21"/>
      <c r="D4" s="21"/>
      <c r="E4" s="21"/>
      <c r="F4" s="21"/>
      <c r="G4" s="21"/>
      <c r="H4" s="22"/>
    </row>
    <row r="5" spans="2:8" ht="0.75" customHeight="1" thickBot="1" x14ac:dyDescent="0.3">
      <c r="B5" s="23"/>
      <c r="C5" s="24"/>
      <c r="D5" s="24"/>
      <c r="E5" s="24"/>
      <c r="F5" s="24"/>
      <c r="G5" s="24"/>
      <c r="H5" s="25"/>
    </row>
    <row r="6" spans="2:8" ht="47.25" x14ac:dyDescent="0.25">
      <c r="B6" s="10" t="s">
        <v>4</v>
      </c>
      <c r="C6" s="11" t="s">
        <v>2</v>
      </c>
      <c r="D6" s="11" t="s">
        <v>3</v>
      </c>
      <c r="E6" s="12" t="s">
        <v>17</v>
      </c>
      <c r="F6" s="12" t="s">
        <v>15</v>
      </c>
      <c r="G6" s="12" t="s">
        <v>16</v>
      </c>
      <c r="H6" s="13" t="s">
        <v>18</v>
      </c>
    </row>
    <row r="7" spans="2:8" ht="29.25" customHeight="1" thickBot="1" x14ac:dyDescent="0.3">
      <c r="B7" s="26" t="s">
        <v>7</v>
      </c>
      <c r="C7" s="14" t="s">
        <v>5</v>
      </c>
      <c r="D7" s="14" t="s">
        <v>5</v>
      </c>
      <c r="E7" s="27">
        <v>20.246700000000001</v>
      </c>
      <c r="F7" s="27">
        <v>30.3325</v>
      </c>
      <c r="G7" s="27">
        <v>30.226099999999999</v>
      </c>
      <c r="H7" s="28">
        <f t="shared" ref="H7" si="0">ROUND(((F7-E7)/(G7-E7)),4)*0.99704</f>
        <v>1.0077083279999999</v>
      </c>
    </row>
    <row r="9" spans="2:8" ht="15.75" thickBot="1" x14ac:dyDescent="0.3"/>
    <row r="10" spans="2:8" x14ac:dyDescent="0.25">
      <c r="B10" s="17" t="s">
        <v>6</v>
      </c>
      <c r="C10" s="18"/>
      <c r="D10" s="18"/>
      <c r="E10" s="18"/>
      <c r="F10" s="18"/>
      <c r="G10" s="18"/>
      <c r="H10" s="19"/>
    </row>
    <row r="11" spans="2:8" ht="18.75" customHeight="1" thickBot="1" x14ac:dyDescent="0.3">
      <c r="B11" s="23"/>
      <c r="C11" s="24"/>
      <c r="D11" s="24"/>
      <c r="E11" s="24"/>
      <c r="F11" s="24"/>
      <c r="G11" s="24"/>
      <c r="H11" s="25"/>
    </row>
    <row r="12" spans="2:8" ht="47.25" x14ac:dyDescent="0.25">
      <c r="B12" s="15" t="s">
        <v>4</v>
      </c>
      <c r="C12" s="8" t="s">
        <v>2</v>
      </c>
      <c r="D12" s="8" t="s">
        <v>3</v>
      </c>
      <c r="E12" s="9" t="s">
        <v>12</v>
      </c>
      <c r="F12" s="9" t="s">
        <v>9</v>
      </c>
      <c r="G12" s="9" t="s">
        <v>8</v>
      </c>
      <c r="H12" s="16" t="s">
        <v>19</v>
      </c>
    </row>
    <row r="13" spans="2:8" ht="25.5" customHeight="1" x14ac:dyDescent="0.25">
      <c r="B13" s="4" t="s">
        <v>7</v>
      </c>
      <c r="C13" s="6" t="s">
        <v>5</v>
      </c>
      <c r="D13" s="6" t="s">
        <v>5</v>
      </c>
      <c r="E13" s="2">
        <v>13.0771</v>
      </c>
      <c r="F13" s="2">
        <v>7.5555000000000003</v>
      </c>
      <c r="G13" s="2">
        <f>E13-F13</f>
        <v>5.5215999999999994</v>
      </c>
      <c r="H13" s="3">
        <f>G13/H$7</f>
        <v>5.4793632706784576</v>
      </c>
    </row>
    <row r="14" spans="2:8" ht="25.5" customHeight="1" x14ac:dyDescent="0.25">
      <c r="B14" s="4" t="s">
        <v>7</v>
      </c>
      <c r="C14" s="6"/>
      <c r="D14" s="6"/>
      <c r="E14" s="5">
        <v>12.922000000000001</v>
      </c>
      <c r="F14" s="2">
        <v>7.4192</v>
      </c>
      <c r="G14" s="5">
        <f t="shared" ref="G14:G15" si="1">E14-F14</f>
        <v>5.5028000000000006</v>
      </c>
      <c r="H14" s="3">
        <f t="shared" ref="H14:H15" si="2">G14/H$7</f>
        <v>5.4607070787252647</v>
      </c>
    </row>
    <row r="15" spans="2:8" ht="25.5" customHeight="1" x14ac:dyDescent="0.25">
      <c r="B15" s="4" t="s">
        <v>7</v>
      </c>
      <c r="C15" s="6"/>
      <c r="D15" s="6"/>
      <c r="E15" s="2">
        <v>13.0609</v>
      </c>
      <c r="F15" s="2">
        <v>7.5278</v>
      </c>
      <c r="G15" s="2">
        <f t="shared" si="1"/>
        <v>5.5331000000000001</v>
      </c>
      <c r="H15" s="3">
        <f t="shared" si="2"/>
        <v>5.4907753029902526</v>
      </c>
    </row>
    <row r="16" spans="2:8" ht="21.75" customHeight="1" thickBot="1" x14ac:dyDescent="0.3">
      <c r="B16" s="26" t="s">
        <v>14</v>
      </c>
      <c r="C16" s="14"/>
      <c r="D16" s="14"/>
      <c r="E16" s="29"/>
      <c r="F16" s="30"/>
      <c r="G16" s="31"/>
      <c r="H16" s="28">
        <f>AVERAGE(H13:H15)</f>
        <v>5.4769485507979923</v>
      </c>
    </row>
    <row r="18" spans="2:8" ht="15.75" thickBot="1" x14ac:dyDescent="0.3"/>
    <row r="19" spans="2:8" x14ac:dyDescent="0.25">
      <c r="B19" s="17" t="s">
        <v>11</v>
      </c>
      <c r="C19" s="18"/>
      <c r="D19" s="18"/>
      <c r="E19" s="18"/>
      <c r="F19" s="18"/>
      <c r="G19" s="18"/>
      <c r="H19" s="19"/>
    </row>
    <row r="20" spans="2:8" ht="15.75" thickBot="1" x14ac:dyDescent="0.3">
      <c r="B20" s="23"/>
      <c r="C20" s="24"/>
      <c r="D20" s="24"/>
      <c r="E20" s="24"/>
      <c r="F20" s="24"/>
      <c r="G20" s="24"/>
      <c r="H20" s="25"/>
    </row>
    <row r="21" spans="2:8" ht="47.25" x14ac:dyDescent="0.25">
      <c r="B21" s="15" t="s">
        <v>4</v>
      </c>
      <c r="C21" s="8" t="s">
        <v>2</v>
      </c>
      <c r="D21" s="8" t="s">
        <v>3</v>
      </c>
      <c r="E21" s="9" t="s">
        <v>10</v>
      </c>
      <c r="F21" s="9" t="s">
        <v>9</v>
      </c>
      <c r="G21" s="9" t="s">
        <v>8</v>
      </c>
      <c r="H21" s="16" t="s">
        <v>20</v>
      </c>
    </row>
    <row r="22" spans="2:8" ht="26.25" customHeight="1" x14ac:dyDescent="0.25">
      <c r="B22" s="4" t="s">
        <v>7</v>
      </c>
      <c r="C22" s="6" t="s">
        <v>5</v>
      </c>
      <c r="D22" s="6" t="s">
        <v>5</v>
      </c>
      <c r="E22" s="2">
        <v>46.106400000000001</v>
      </c>
      <c r="F22" s="2">
        <v>20.001200000000001</v>
      </c>
      <c r="G22" s="2">
        <f>E22-F22</f>
        <v>26.1052</v>
      </c>
      <c r="H22" s="3">
        <f>G22/H$7</f>
        <v>25.905511817899754</v>
      </c>
    </row>
    <row r="23" spans="2:8" ht="26.25" customHeight="1" thickBot="1" x14ac:dyDescent="0.3">
      <c r="B23" s="26" t="s">
        <v>14</v>
      </c>
      <c r="C23" s="14"/>
      <c r="D23" s="14"/>
      <c r="E23" s="29"/>
      <c r="F23" s="30"/>
      <c r="G23" s="31"/>
      <c r="H23" s="28">
        <v>25.9055</v>
      </c>
    </row>
    <row r="26" spans="2:8" ht="27" customHeight="1" x14ac:dyDescent="0.25">
      <c r="B26" s="6" t="s">
        <v>0</v>
      </c>
      <c r="C26" s="7"/>
      <c r="D26" s="7"/>
      <c r="E26" s="7"/>
      <c r="G26" s="6" t="s">
        <v>0</v>
      </c>
      <c r="H26" s="7"/>
    </row>
    <row r="27" spans="2:8" ht="26.25" customHeight="1" x14ac:dyDescent="0.25">
      <c r="B27" s="6" t="s">
        <v>1</v>
      </c>
      <c r="C27" s="7"/>
      <c r="D27" s="7"/>
      <c r="E27" s="7"/>
      <c r="G27" s="6" t="s">
        <v>1</v>
      </c>
      <c r="H27" s="7"/>
    </row>
  </sheetData>
  <mergeCells count="5">
    <mergeCell ref="B3:H5"/>
    <mergeCell ref="B10:H11"/>
    <mergeCell ref="B19:H20"/>
    <mergeCell ref="E16:G16"/>
    <mergeCell ref="E23:G23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Dadhaniya, Tejas</dc:creator>
  <cp:lastModifiedBy>Joshi, Mohit</cp:lastModifiedBy>
  <cp:lastPrinted>2025-09-22T10:37:12Z</cp:lastPrinted>
  <dcterms:created xsi:type="dcterms:W3CDTF">2017-02-13T08:46:42Z</dcterms:created>
  <dcterms:modified xsi:type="dcterms:W3CDTF">2025-09-22T10:40:56Z</dcterms:modified>
</cp:coreProperties>
</file>