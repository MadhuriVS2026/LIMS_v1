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ThisWorkbook" defaultThemeVersion="124226"/>
  <xr:revisionPtr revIDLastSave="0" documentId="13_ncr:1_{F7E64A47-BAA6-4A88-BB8E-B52E9B7017CC}" xr6:coauthVersionLast="36" xr6:coauthVersionMax="36" xr10:uidLastSave="{00000000-0000-0000-0000-000000000000}"/>
  <bookViews>
    <workbookView xWindow="0" yWindow="0" windowWidth="20496" windowHeight="7620" tabRatio="788" activeTab="1" xr2:uid="{00000000-000D-0000-FFFF-FFFF00000000}"/>
  </bookViews>
  <sheets>
    <sheet name="Lipid " sheetId="66" r:id="rId1"/>
    <sheet name="Drug to Lipid ratio Auto Calc" sheetId="67" r:id="rId2"/>
  </sheets>
  <definedNames>
    <definedName name="_xlnm.Print_Area" localSheetId="1">'Drug to Lipid ratio Auto Calc'!$A$1:$N$57</definedName>
    <definedName name="_xlnm.Print_Area" localSheetId="0">'Lipid '!$A$1:$O$106</definedName>
  </definedNames>
  <calcPr calcId="191029"/>
</workbook>
</file>

<file path=xl/calcChain.xml><?xml version="1.0" encoding="utf-8"?>
<calcChain xmlns="http://schemas.openxmlformats.org/spreadsheetml/2006/main">
  <c r="C12" i="67" l="1"/>
  <c r="B48" i="67" l="1"/>
  <c r="C48" i="67"/>
  <c r="D48" i="67"/>
  <c r="E48" i="67"/>
  <c r="A48" i="67"/>
  <c r="B43" i="67"/>
  <c r="C43" i="67"/>
  <c r="D43" i="67"/>
  <c r="E43" i="67"/>
  <c r="A43" i="67"/>
  <c r="B38" i="67"/>
  <c r="C38" i="67"/>
  <c r="D38" i="67"/>
  <c r="E38" i="67"/>
  <c r="A38" i="67"/>
  <c r="B33" i="67"/>
  <c r="C33" i="67"/>
  <c r="D33" i="67"/>
  <c r="E33" i="67"/>
  <c r="A33" i="67"/>
  <c r="B28" i="67"/>
  <c r="C28" i="67"/>
  <c r="D28" i="67"/>
  <c r="E28" i="67"/>
  <c r="A28" i="67"/>
  <c r="B23" i="67"/>
  <c r="C23" i="67"/>
  <c r="D23" i="67"/>
  <c r="E23" i="67"/>
  <c r="A23" i="67"/>
  <c r="C18" i="67"/>
  <c r="D18" i="67"/>
  <c r="E18" i="67"/>
  <c r="B18" i="67"/>
  <c r="A18" i="67"/>
  <c r="M48" i="67" l="1"/>
  <c r="M43" i="67"/>
  <c r="M38" i="67"/>
  <c r="M33" i="67"/>
  <c r="M28" i="67"/>
  <c r="M23" i="67"/>
  <c r="M18" i="67"/>
  <c r="G49" i="67" l="1"/>
  <c r="G50" i="67"/>
  <c r="G51" i="67"/>
  <c r="G48" i="67"/>
  <c r="G44" i="67"/>
  <c r="G45" i="67"/>
  <c r="G46" i="67"/>
  <c r="G43" i="67"/>
  <c r="G39" i="67"/>
  <c r="G40" i="67"/>
  <c r="G41" i="67"/>
  <c r="G38" i="67"/>
  <c r="G34" i="67"/>
  <c r="G35" i="67"/>
  <c r="G36" i="67"/>
  <c r="G33" i="67"/>
  <c r="G29" i="67"/>
  <c r="G30" i="67"/>
  <c r="G31" i="67"/>
  <c r="G28" i="67"/>
  <c r="G24" i="67"/>
  <c r="G25" i="67"/>
  <c r="G26" i="67"/>
  <c r="G23" i="67"/>
  <c r="G19" i="67"/>
  <c r="G20" i="67"/>
  <c r="G21" i="67"/>
  <c r="G18" i="67"/>
  <c r="C13" i="67"/>
  <c r="C11" i="67"/>
  <c r="C10" i="67"/>
  <c r="C8" i="67"/>
  <c r="C7" i="67"/>
  <c r="G100" i="66" l="1"/>
  <c r="G99" i="66"/>
  <c r="G98" i="66"/>
  <c r="L97" i="66"/>
  <c r="K97" i="66"/>
  <c r="J97" i="66"/>
  <c r="H97" i="66"/>
  <c r="G97" i="66"/>
  <c r="L88" i="66" l="1"/>
  <c r="K88" i="66"/>
  <c r="J88" i="66"/>
  <c r="H88" i="66"/>
  <c r="L79" i="66"/>
  <c r="K79" i="66"/>
  <c r="J79" i="66"/>
  <c r="H79" i="66"/>
  <c r="L70" i="66"/>
  <c r="K70" i="66"/>
  <c r="J70" i="66"/>
  <c r="H70" i="66"/>
  <c r="L61" i="66"/>
  <c r="K61" i="66"/>
  <c r="J61" i="66"/>
  <c r="H61" i="66"/>
  <c r="L52" i="66"/>
  <c r="K52" i="66"/>
  <c r="J52" i="66"/>
  <c r="H52" i="66"/>
  <c r="L43" i="66"/>
  <c r="K43" i="66"/>
  <c r="J43" i="66"/>
  <c r="H43" i="66"/>
  <c r="G44" i="66"/>
  <c r="G45" i="66"/>
  <c r="G46" i="66"/>
  <c r="G43" i="66"/>
  <c r="G53" i="66"/>
  <c r="G54" i="66"/>
  <c r="G55" i="66"/>
  <c r="G52" i="66"/>
  <c r="G62" i="66"/>
  <c r="G63" i="66"/>
  <c r="G64" i="66"/>
  <c r="G61" i="66"/>
  <c r="G71" i="66"/>
  <c r="G72" i="66"/>
  <c r="G73" i="66"/>
  <c r="G70" i="66"/>
  <c r="G80" i="66"/>
  <c r="G81" i="66"/>
  <c r="G82" i="66"/>
  <c r="G79" i="66"/>
  <c r="G89" i="66"/>
  <c r="G90" i="66"/>
  <c r="G91" i="66"/>
  <c r="G88" i="66"/>
  <c r="F42" i="66" l="1"/>
  <c r="F41" i="66"/>
  <c r="F40" i="66"/>
  <c r="F39" i="66"/>
  <c r="K32" i="66"/>
  <c r="J32" i="66"/>
  <c r="I32" i="66"/>
  <c r="H32" i="66"/>
  <c r="E32" i="66"/>
  <c r="D32" i="66"/>
  <c r="C32" i="66"/>
  <c r="B32" i="66"/>
  <c r="K31" i="66"/>
  <c r="J31" i="66"/>
  <c r="I31" i="66"/>
  <c r="H31" i="66"/>
  <c r="E31" i="66"/>
  <c r="N91" i="66" s="1"/>
  <c r="D31" i="66"/>
  <c r="C31" i="66"/>
  <c r="N44" i="66" s="1"/>
  <c r="B31" i="66"/>
  <c r="N93" i="66" s="1"/>
  <c r="K23" i="66"/>
  <c r="J23" i="66"/>
  <c r="I23" i="66"/>
  <c r="H23" i="66"/>
  <c r="E23" i="66"/>
  <c r="D23" i="66"/>
  <c r="B23" i="66"/>
  <c r="K21" i="66"/>
  <c r="K20" i="66"/>
  <c r="K19" i="66"/>
  <c r="K18" i="66"/>
  <c r="K33" i="66" l="1"/>
  <c r="N62" i="66"/>
  <c r="N53" i="66"/>
  <c r="N89" i="66"/>
  <c r="N80" i="66"/>
  <c r="N82" i="66"/>
  <c r="N95" i="66"/>
  <c r="N99" i="66"/>
  <c r="N50" i="66"/>
  <c r="N86" i="66"/>
  <c r="N68" i="66"/>
  <c r="N77" i="66"/>
  <c r="N41" i="66"/>
  <c r="N59" i="66"/>
  <c r="J33" i="66"/>
  <c r="N90" i="66"/>
  <c r="N55" i="66"/>
  <c r="N54" i="66"/>
  <c r="N64" i="66"/>
  <c r="N63" i="66"/>
  <c r="N81" i="66"/>
  <c r="N72" i="66"/>
  <c r="N96" i="66"/>
  <c r="N100" i="66"/>
  <c r="N51" i="66"/>
  <c r="N78" i="66"/>
  <c r="N42" i="66"/>
  <c r="N60" i="66"/>
  <c r="N87" i="66"/>
  <c r="O91" i="66" s="1"/>
  <c r="H46" i="67" s="1"/>
  <c r="I46" i="67" s="1"/>
  <c r="N69" i="66"/>
  <c r="N73" i="66"/>
  <c r="D33" i="66"/>
  <c r="E33" i="66"/>
  <c r="N45" i="66"/>
  <c r="N88" i="66"/>
  <c r="N97" i="66"/>
  <c r="N94" i="66"/>
  <c r="N98" i="66"/>
  <c r="N49" i="66"/>
  <c r="N76" i="66"/>
  <c r="N58" i="66"/>
  <c r="N85" i="66"/>
  <c r="N40" i="66"/>
  <c r="O44" i="66" s="1"/>
  <c r="H19" i="67" s="1"/>
  <c r="I19" i="67" s="1"/>
  <c r="N67" i="66"/>
  <c r="I33" i="66"/>
  <c r="N71" i="66"/>
  <c r="N46" i="66"/>
  <c r="N52" i="66"/>
  <c r="N70" i="66"/>
  <c r="N61" i="66"/>
  <c r="H33" i="66"/>
  <c r="N48" i="66"/>
  <c r="N66" i="66"/>
  <c r="N75" i="66"/>
  <c r="N43" i="66"/>
  <c r="N84" i="66"/>
  <c r="N57" i="66"/>
  <c r="N79" i="66"/>
  <c r="N39" i="66"/>
  <c r="B33" i="66"/>
  <c r="C33" i="66"/>
  <c r="O62" i="66" l="1"/>
  <c r="H29" i="67" s="1"/>
  <c r="I29" i="67" s="1"/>
  <c r="O71" i="66"/>
  <c r="H34" i="67" s="1"/>
  <c r="I34" i="67" s="1"/>
  <c r="O73" i="66"/>
  <c r="H36" i="67" s="1"/>
  <c r="I36" i="67" s="1"/>
  <c r="O80" i="66"/>
  <c r="H39" i="67" s="1"/>
  <c r="I39" i="67" s="1"/>
  <c r="O72" i="66"/>
  <c r="H35" i="67" s="1"/>
  <c r="I35" i="67" s="1"/>
  <c r="O64" i="66"/>
  <c r="H31" i="67" s="1"/>
  <c r="I31" i="67" s="1"/>
  <c r="O45" i="66"/>
  <c r="H20" i="67" s="1"/>
  <c r="I20" i="67" s="1"/>
  <c r="O53" i="66"/>
  <c r="H24" i="67" s="1"/>
  <c r="I24" i="67" s="1"/>
  <c r="O89" i="66"/>
  <c r="H44" i="67" s="1"/>
  <c r="I44" i="67" s="1"/>
  <c r="O90" i="66"/>
  <c r="H45" i="67" s="1"/>
  <c r="I45" i="67" s="1"/>
  <c r="O54" i="66"/>
  <c r="H25" i="67" s="1"/>
  <c r="I25" i="67" s="1"/>
  <c r="O46" i="66"/>
  <c r="H21" i="67" s="1"/>
  <c r="I21" i="67" s="1"/>
  <c r="O98" i="66"/>
  <c r="H49" i="67" s="1"/>
  <c r="I49" i="67" s="1"/>
  <c r="O97" i="66"/>
  <c r="H48" i="67" s="1"/>
  <c r="I48" i="67" s="1"/>
  <c r="O88" i="66"/>
  <c r="H43" i="67" s="1"/>
  <c r="I43" i="67" s="1"/>
  <c r="O63" i="66"/>
  <c r="H30" i="67" s="1"/>
  <c r="I30" i="67" s="1"/>
  <c r="O99" i="66"/>
  <c r="H50" i="67" s="1"/>
  <c r="I50" i="67" s="1"/>
  <c r="O55" i="66"/>
  <c r="H26" i="67" s="1"/>
  <c r="I26" i="67" s="1"/>
  <c r="O100" i="66"/>
  <c r="H51" i="67" s="1"/>
  <c r="I51" i="67" s="1"/>
  <c r="O81" i="66"/>
  <c r="H40" i="67" s="1"/>
  <c r="I40" i="67" s="1"/>
  <c r="O82" i="66"/>
  <c r="H41" i="67" s="1"/>
  <c r="I41" i="67" s="1"/>
  <c r="O61" i="66"/>
  <c r="H28" i="67" s="1"/>
  <c r="I28" i="67" s="1"/>
  <c r="O52" i="66"/>
  <c r="H23" i="67" s="1"/>
  <c r="I23" i="67" s="1"/>
  <c r="O70" i="66"/>
  <c r="H33" i="67" s="1"/>
  <c r="I33" i="67" s="1"/>
  <c r="O43" i="66"/>
  <c r="H18" i="67" s="1"/>
  <c r="I18" i="67" s="1"/>
  <c r="O79" i="66"/>
  <c r="H38" i="67" s="1"/>
  <c r="I38" i="67" s="1"/>
  <c r="J33" i="67" l="1"/>
  <c r="N33" i="67" s="1"/>
  <c r="J18" i="67"/>
  <c r="N18" i="67" s="1"/>
  <c r="J28" i="67"/>
  <c r="N28" i="67" s="1"/>
  <c r="J38" i="67"/>
  <c r="N38" i="67" s="1"/>
  <c r="J48" i="67"/>
  <c r="N48" i="67" s="1"/>
  <c r="J23" i="67"/>
  <c r="N23" i="67" s="1"/>
  <c r="J43" i="67"/>
  <c r="N43" i="67" s="1"/>
</calcChain>
</file>

<file path=xl/sharedStrings.xml><?xml version="1.0" encoding="utf-8"?>
<sst xmlns="http://schemas.openxmlformats.org/spreadsheetml/2006/main" count="218" uniqueCount="72">
  <si>
    <t>Mean</t>
  </si>
  <si>
    <t>SD</t>
  </si>
  <si>
    <t>% RSD</t>
  </si>
  <si>
    <t>Injection No.</t>
  </si>
  <si>
    <t>Vol</t>
  </si>
  <si>
    <t>Pip</t>
  </si>
  <si>
    <t>Sample Weight</t>
  </si>
  <si>
    <t>LC</t>
  </si>
  <si>
    <t>Area</t>
  </si>
  <si>
    <t>% Assay</t>
  </si>
  <si>
    <t>TRF No.</t>
  </si>
  <si>
    <t>AR No.</t>
  </si>
  <si>
    <t>Weight in mg</t>
  </si>
  <si>
    <t>Checked By</t>
  </si>
  <si>
    <t>Analyzed By</t>
  </si>
  <si>
    <t>Packing Detail</t>
  </si>
  <si>
    <t>Batch No.</t>
  </si>
  <si>
    <t>Potency</t>
  </si>
  <si>
    <t>Analytical Development</t>
  </si>
  <si>
    <t>Generic Name</t>
  </si>
  <si>
    <t>Product Name</t>
  </si>
  <si>
    <t>Test</t>
  </si>
  <si>
    <t>Analysis as per</t>
  </si>
  <si>
    <t>Analysed By</t>
  </si>
  <si>
    <t>Instrument Id.</t>
  </si>
  <si>
    <t>Date of Analysis</t>
  </si>
  <si>
    <t>Standard Details</t>
  </si>
  <si>
    <t>Sample Details</t>
  </si>
  <si>
    <t>Compound Name</t>
  </si>
  <si>
    <t>Emcure</t>
  </si>
  <si>
    <t>Cholesterol</t>
  </si>
  <si>
    <t>DEPC</t>
  </si>
  <si>
    <t>Tricaprylin</t>
  </si>
  <si>
    <t>DPPG</t>
  </si>
  <si>
    <t>DPPG Na</t>
  </si>
  <si>
    <t>Lipid Content</t>
  </si>
  <si>
    <t>BKT Std</t>
  </si>
  <si>
    <t>Storage Condition</t>
  </si>
  <si>
    <t>M.W. of 
Salt</t>
  </si>
  <si>
    <t>Conc. (ppm)</t>
  </si>
  <si>
    <t>M.W of
 Base</t>
  </si>
  <si>
    <t>Compound
 Name</t>
  </si>
  <si>
    <t>Glass Vial</t>
  </si>
  <si>
    <t>Avg 
Weight</t>
  </si>
  <si>
    <t>AD/HPLC/006</t>
  </si>
  <si>
    <t>AD/ATP/648/02</t>
  </si>
  <si>
    <t>Mayur Kansara</t>
  </si>
  <si>
    <t>% Mean</t>
  </si>
  <si>
    <t xml:space="preserve"> </t>
  </si>
  <si>
    <t>Drug to Lipid Ratio</t>
  </si>
  <si>
    <t>Lipid Assay Calculation Sheet</t>
  </si>
  <si>
    <t>Drug to Lipid Calculation Sheet</t>
  </si>
  <si>
    <t>% Assay of Bupivacaine</t>
  </si>
  <si>
    <t>L.C. of Bupivacaine</t>
  </si>
  <si>
    <t>mg/mL of Bupivacaine</t>
  </si>
  <si>
    <t>Drug/Lipid Ratio</t>
  </si>
  <si>
    <t>mg/mL 
(Sum of Lipid)</t>
  </si>
  <si>
    <t>% Mean (Lipid)</t>
  </si>
  <si>
    <t>L.C.
(Lipid)</t>
  </si>
  <si>
    <t>mg/mL
(Lipid)</t>
  </si>
  <si>
    <t>Bupivacaine liposome injectable suspension (13.3 mg/ml)</t>
  </si>
  <si>
    <t>2-8°C_3M</t>
  </si>
  <si>
    <t>EP20_117-299-B</t>
  </si>
  <si>
    <t>EP20_117-299-C</t>
  </si>
  <si>
    <t>TRF_068-24-089</t>
  </si>
  <si>
    <t>AD/008/24/0701</t>
  </si>
  <si>
    <t>AD/008/24/0702</t>
  </si>
  <si>
    <t>TRF_068-24-091</t>
  </si>
  <si>
    <t>EP20_117-299-A</t>
  </si>
  <si>
    <t>TRF_068-24-088</t>
  </si>
  <si>
    <t>AD/008/24/0700</t>
  </si>
  <si>
    <t>R &amp; D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</si>
</sst>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b/>
      <sz val="20"/>
      <color theme="1"/>
      <name val="Arial"/>
      <family val="2"/>
    </font>
    <font>
      <sz val="15"/>
      <color theme="1"/>
      <name val="Arial"/>
      <family val="2"/>
    </font>
    <font>
      <b/>
      <sz val="18"/>
      <name val="Arial"/>
      <family val="2"/>
    </font>
    <font>
      <b/>
      <sz val="28"/>
      <color rgb="FFFF0000"/>
      <name val="Arial"/>
      <family val="2"/>
    </font>
    <font>
      <b/>
      <sz val="28"/>
      <color theme="1"/>
      <name val="Arial"/>
      <family val="2"/>
    </font>
    <font>
      <b/>
      <sz val="36"/>
      <color theme="1"/>
      <name val="Arial"/>
      <family val="2"/>
    </font>
    <font>
      <sz val="20"/>
      <color theme="1"/>
      <name val="Arial"/>
      <family val="2"/>
    </font>
    <font>
      <b/>
      <sz val="22"/>
      <color theme="1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E0F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0" fillId="0" borderId="0" xfId="0" applyFont="1" applyBorder="1" applyProtection="1"/>
    <xf numFmtId="0" fontId="0" fillId="0" borderId="0" xfId="0" applyFont="1" applyBorder="1" applyAlignment="1" applyProtection="1">
      <alignment horizontal="center"/>
    </xf>
    <xf numFmtId="0" fontId="4" fillId="0" borderId="0" xfId="0" applyFont="1" applyProtection="1"/>
    <xf numFmtId="0" fontId="4" fillId="0" borderId="0" xfId="0" applyFont="1" applyBorder="1" applyAlignment="1" applyProtection="1">
      <alignment horizontal="center"/>
    </xf>
    <xf numFmtId="0" fontId="4" fillId="0" borderId="0" xfId="0" applyFont="1" applyFill="1" applyBorder="1" applyProtection="1"/>
    <xf numFmtId="0" fontId="4" fillId="0" borderId="0" xfId="0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5" fillId="0" borderId="0" xfId="0" applyFont="1" applyFill="1" applyBorder="1" applyProtection="1"/>
    <xf numFmtId="0" fontId="5" fillId="0" borderId="0" xfId="0" applyFont="1" applyBorder="1" applyProtection="1"/>
    <xf numFmtId="0" fontId="8" fillId="0" borderId="0" xfId="0" applyFont="1" applyAlignment="1" applyProtection="1">
      <alignment vertical="center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center" vertical="center"/>
    </xf>
    <xf numFmtId="0" fontId="2" fillId="0" borderId="0" xfId="0" applyFont="1" applyProtection="1"/>
    <xf numFmtId="0" fontId="5" fillId="0" borderId="0" xfId="0" applyFont="1" applyFill="1" applyBorder="1" applyAlignment="1" applyProtection="1"/>
    <xf numFmtId="0" fontId="5" fillId="0" borderId="0" xfId="0" applyFont="1" applyFill="1" applyBorder="1" applyAlignment="1" applyProtection="1">
      <alignment horizontal="center"/>
    </xf>
    <xf numFmtId="0" fontId="5" fillId="0" borderId="27" xfId="0" applyFont="1" applyFill="1" applyBorder="1" applyAlignment="1" applyProtection="1"/>
    <xf numFmtId="2" fontId="6" fillId="0" borderId="0" xfId="0" applyNumberFormat="1" applyFont="1" applyFill="1" applyBorder="1" applyAlignment="1" applyProtection="1">
      <alignment horizontal="center" vertical="center"/>
    </xf>
    <xf numFmtId="0" fontId="2" fillId="0" borderId="24" xfId="0" applyFont="1" applyBorder="1" applyProtection="1"/>
    <xf numFmtId="0" fontId="2" fillId="0" borderId="24" xfId="0" applyFont="1" applyBorder="1" applyAlignment="1" applyProtection="1">
      <alignment horizontal="center"/>
    </xf>
    <xf numFmtId="0" fontId="2" fillId="0" borderId="25" xfId="0" applyFont="1" applyBorder="1" applyAlignment="1" applyProtection="1">
      <alignment horizontal="center"/>
    </xf>
    <xf numFmtId="0" fontId="2" fillId="0" borderId="0" xfId="0" applyFont="1" applyBorder="1" applyProtection="1"/>
    <xf numFmtId="0" fontId="2" fillId="0" borderId="0" xfId="0" applyFont="1" applyBorder="1" applyAlignment="1" applyProtection="1">
      <alignment horizontal="center"/>
    </xf>
    <xf numFmtId="0" fontId="2" fillId="0" borderId="26" xfId="0" applyFont="1" applyBorder="1" applyAlignment="1" applyProtection="1">
      <alignment horizontal="center"/>
    </xf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0" fillId="0" borderId="26" xfId="0" applyBorder="1" applyAlignment="1" applyProtection="1">
      <alignment horizontal="center"/>
    </xf>
    <xf numFmtId="0" fontId="1" fillId="0" borderId="32" xfId="0" applyFont="1" applyBorder="1" applyProtection="1"/>
    <xf numFmtId="0" fontId="1" fillId="0" borderId="0" xfId="0" applyFont="1" applyBorder="1" applyProtection="1"/>
    <xf numFmtId="0" fontId="1" fillId="0" borderId="0" xfId="0" applyFont="1" applyBorder="1" applyAlignment="1" applyProtection="1">
      <alignment horizontal="center"/>
    </xf>
    <xf numFmtId="0" fontId="1" fillId="0" borderId="26" xfId="0" applyFont="1" applyBorder="1" applyAlignment="1" applyProtection="1">
      <alignment horizontal="center"/>
    </xf>
    <xf numFmtId="0" fontId="0" fillId="0" borderId="32" xfId="0" applyFont="1" applyBorder="1" applyProtection="1"/>
    <xf numFmtId="0" fontId="4" fillId="0" borderId="32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8" fillId="0" borderId="26" xfId="0" applyFont="1" applyBorder="1" applyAlignment="1" applyProtection="1">
      <alignment horizontal="center" vertical="center"/>
    </xf>
    <xf numFmtId="0" fontId="4" fillId="0" borderId="32" xfId="0" applyFont="1" applyFill="1" applyBorder="1" applyProtection="1"/>
    <xf numFmtId="0" fontId="5" fillId="0" borderId="32" xfId="0" applyFont="1" applyFill="1" applyBorder="1" applyProtection="1"/>
    <xf numFmtId="0" fontId="1" fillId="0" borderId="27" xfId="0" applyFont="1" applyBorder="1" applyAlignment="1" applyProtection="1">
      <alignment horizontal="center"/>
    </xf>
    <xf numFmtId="0" fontId="1" fillId="0" borderId="27" xfId="0" applyFont="1" applyBorder="1" applyProtection="1"/>
    <xf numFmtId="0" fontId="14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</xf>
    <xf numFmtId="0" fontId="9" fillId="0" borderId="16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15" fillId="3" borderId="62" xfId="0" applyFont="1" applyFill="1" applyBorder="1" applyAlignment="1" applyProtection="1">
      <alignment horizontal="left" vertical="center" wrapText="1"/>
      <protection locked="0"/>
    </xf>
    <xf numFmtId="2" fontId="15" fillId="3" borderId="1" xfId="0" applyNumberFormat="1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</xf>
    <xf numFmtId="165" fontId="15" fillId="3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Border="1" applyProtection="1"/>
    <xf numFmtId="0" fontId="17" fillId="0" borderId="0" xfId="0" applyFont="1" applyBorder="1" applyAlignment="1" applyProtection="1">
      <alignment horizontal="center"/>
    </xf>
    <xf numFmtId="0" fontId="17" fillId="0" borderId="26" xfId="0" applyFont="1" applyBorder="1" applyAlignment="1" applyProtection="1">
      <alignment horizontal="center"/>
    </xf>
    <xf numFmtId="0" fontId="17" fillId="0" borderId="0" xfId="0" applyFont="1" applyProtection="1"/>
    <xf numFmtId="0" fontId="17" fillId="0" borderId="0" xfId="0" applyFont="1" applyFill="1" applyBorder="1" applyProtection="1"/>
    <xf numFmtId="0" fontId="17" fillId="0" borderId="0" xfId="0" applyFont="1" applyFill="1" applyBorder="1" applyAlignment="1" applyProtection="1">
      <alignment horizontal="center"/>
    </xf>
    <xf numFmtId="0" fontId="17" fillId="0" borderId="26" xfId="0" applyFont="1" applyFill="1" applyBorder="1" applyAlignment="1" applyProtection="1">
      <alignment horizontal="center"/>
    </xf>
    <xf numFmtId="0" fontId="17" fillId="0" borderId="0" xfId="0" applyFont="1" applyFill="1" applyProtection="1"/>
    <xf numFmtId="0" fontId="15" fillId="0" borderId="0" xfId="0" applyFont="1" applyBorder="1" applyAlignment="1" applyProtection="1">
      <alignment vertical="center"/>
    </xf>
    <xf numFmtId="0" fontId="9" fillId="0" borderId="3" xfId="0" applyFont="1" applyFill="1" applyBorder="1" applyAlignment="1" applyProtection="1">
      <alignment horizontal="center" vertical="center" wrapText="1"/>
    </xf>
    <xf numFmtId="0" fontId="9" fillId="0" borderId="16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 applyProtection="1">
      <alignment horizontal="center" vertical="center"/>
    </xf>
    <xf numFmtId="1" fontId="15" fillId="3" borderId="1" xfId="0" applyNumberFormat="1" applyFont="1" applyFill="1" applyBorder="1" applyAlignment="1" applyProtection="1">
      <alignment horizontal="center" vertical="center"/>
      <protection locked="0"/>
    </xf>
    <xf numFmtId="164" fontId="9" fillId="0" borderId="16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164" fontId="9" fillId="0" borderId="3" xfId="0" applyNumberFormat="1" applyFont="1" applyFill="1" applyBorder="1" applyAlignment="1" applyProtection="1">
      <alignment horizontal="center" vertical="center"/>
    </xf>
    <xf numFmtId="164" fontId="15" fillId="0" borderId="1" xfId="0" applyNumberFormat="1" applyFont="1" applyFill="1" applyBorder="1" applyAlignment="1" applyProtection="1">
      <alignment horizontal="center" vertical="center"/>
    </xf>
    <xf numFmtId="2" fontId="9" fillId="0" borderId="1" xfId="0" applyNumberFormat="1" applyFont="1" applyFill="1" applyBorder="1" applyAlignment="1" applyProtection="1">
      <alignment horizontal="center" vertical="center"/>
    </xf>
    <xf numFmtId="0" fontId="9" fillId="0" borderId="41" xfId="0" applyFont="1" applyFill="1" applyBorder="1" applyAlignment="1" applyProtection="1">
      <alignment horizontal="center" vertical="center" wrapText="1"/>
    </xf>
    <xf numFmtId="0" fontId="9" fillId="0" borderId="42" xfId="0" applyFont="1" applyFill="1" applyBorder="1" applyAlignment="1" applyProtection="1">
      <alignment horizontal="center" vertical="center" wrapText="1"/>
    </xf>
    <xf numFmtId="0" fontId="9" fillId="0" borderId="43" xfId="0" applyFont="1" applyFill="1" applyBorder="1" applyAlignment="1" applyProtection="1">
      <alignment horizontal="center" vertical="center" wrapText="1"/>
    </xf>
    <xf numFmtId="0" fontId="15" fillId="0" borderId="13" xfId="0" applyFont="1" applyFill="1" applyBorder="1" applyAlignment="1" applyProtection="1">
      <alignment horizontal="left" vertical="center" wrapText="1"/>
    </xf>
    <xf numFmtId="165" fontId="15" fillId="3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14" xfId="0" applyFont="1" applyFill="1" applyBorder="1" applyAlignment="1" applyProtection="1">
      <alignment horizontal="left" vertical="center"/>
      <protection locked="0"/>
    </xf>
    <xf numFmtId="2" fontId="9" fillId="0" borderId="15" xfId="0" applyNumberFormat="1" applyFont="1" applyFill="1" applyBorder="1" applyAlignment="1" applyProtection="1">
      <alignment horizontal="center" vertical="center"/>
    </xf>
    <xf numFmtId="0" fontId="15" fillId="0" borderId="16" xfId="0" applyFont="1" applyFill="1" applyBorder="1" applyAlignment="1" applyProtection="1">
      <alignment horizontal="left" vertical="center" wrapText="1"/>
    </xf>
    <xf numFmtId="0" fontId="15" fillId="3" borderId="1" xfId="0" applyFont="1" applyFill="1" applyBorder="1" applyAlignment="1" applyProtection="1">
      <alignment horizontal="left" vertical="center"/>
      <protection locked="0"/>
    </xf>
    <xf numFmtId="2" fontId="9" fillId="0" borderId="17" xfId="0" applyNumberFormat="1" applyFont="1" applyFill="1" applyBorder="1" applyAlignment="1" applyProtection="1">
      <alignment horizontal="center" vertical="center"/>
    </xf>
    <xf numFmtId="0" fontId="15" fillId="0" borderId="59" xfId="0" applyFont="1" applyFill="1" applyBorder="1" applyAlignment="1" applyProtection="1">
      <alignment horizontal="left" vertical="center" wrapText="1"/>
    </xf>
    <xf numFmtId="165" fontId="15" fillId="3" borderId="48" xfId="0" applyNumberFormat="1" applyFont="1" applyFill="1" applyBorder="1" applyAlignment="1" applyProtection="1">
      <alignment horizontal="center" vertical="center"/>
      <protection locked="0"/>
    </xf>
    <xf numFmtId="0" fontId="15" fillId="3" borderId="48" xfId="0" applyFont="1" applyFill="1" applyBorder="1" applyAlignment="1" applyProtection="1">
      <alignment horizontal="left" vertical="center"/>
      <protection locked="0"/>
    </xf>
    <xf numFmtId="2" fontId="9" fillId="0" borderId="49" xfId="0" applyNumberFormat="1" applyFont="1" applyFill="1" applyBorder="1" applyAlignment="1" applyProtection="1">
      <alignment horizontal="center" vertical="center"/>
    </xf>
    <xf numFmtId="2" fontId="9" fillId="0" borderId="37" xfId="0" applyNumberFormat="1" applyFont="1" applyFill="1" applyBorder="1" applyAlignment="1" applyProtection="1">
      <alignment horizontal="center" vertical="center"/>
    </xf>
    <xf numFmtId="2" fontId="9" fillId="0" borderId="38" xfId="0" applyNumberFormat="1" applyFont="1" applyFill="1" applyBorder="1" applyAlignment="1" applyProtection="1">
      <alignment horizontal="center" vertical="center"/>
    </xf>
    <xf numFmtId="0" fontId="15" fillId="0" borderId="18" xfId="0" applyFont="1" applyFill="1" applyBorder="1" applyAlignment="1" applyProtection="1">
      <alignment horizontal="left" vertical="center" wrapText="1"/>
    </xf>
    <xf numFmtId="0" fontId="15" fillId="3" borderId="19" xfId="0" applyFont="1" applyFill="1" applyBorder="1" applyAlignment="1" applyProtection="1">
      <alignment horizontal="left" vertical="center"/>
      <protection locked="0"/>
    </xf>
    <xf numFmtId="2" fontId="9" fillId="0" borderId="20" xfId="0" applyNumberFormat="1" applyFont="1" applyFill="1" applyBorder="1" applyAlignment="1" applyProtection="1">
      <alignment horizontal="center" vertical="center"/>
    </xf>
    <xf numFmtId="2" fontId="9" fillId="0" borderId="40" xfId="0" applyNumberFormat="1" applyFont="1" applyFill="1" applyBorder="1" applyAlignment="1" applyProtection="1">
      <alignment horizontal="center" vertical="center"/>
    </xf>
    <xf numFmtId="165" fontId="15" fillId="3" borderId="19" xfId="0" applyNumberFormat="1" applyFont="1" applyFill="1" applyBorder="1" applyAlignment="1" applyProtection="1">
      <alignment horizontal="center" vertical="center"/>
      <protection locked="0"/>
    </xf>
    <xf numFmtId="0" fontId="15" fillId="0" borderId="52" xfId="0" applyFont="1" applyFill="1" applyBorder="1" applyAlignment="1" applyProtection="1">
      <alignment horizontal="left" vertical="center" wrapText="1"/>
    </xf>
    <xf numFmtId="165" fontId="15" fillId="3" borderId="51" xfId="0" applyNumberFormat="1" applyFont="1" applyFill="1" applyBorder="1" applyAlignment="1" applyProtection="1">
      <alignment horizontal="center" vertical="center"/>
      <protection locked="0"/>
    </xf>
    <xf numFmtId="0" fontId="15" fillId="3" borderId="51" xfId="0" applyFont="1" applyFill="1" applyBorder="1" applyAlignment="1" applyProtection="1">
      <alignment horizontal="left" vertical="center"/>
      <protection locked="0"/>
    </xf>
    <xf numFmtId="2" fontId="9" fillId="0" borderId="60" xfId="0" applyNumberFormat="1" applyFont="1" applyFill="1" applyBorder="1" applyAlignment="1" applyProtection="1">
      <alignment horizontal="center" vertical="center"/>
    </xf>
    <xf numFmtId="165" fontId="15" fillId="0" borderId="14" xfId="0" applyNumberFormat="1" applyFont="1" applyFill="1" applyBorder="1" applyAlignment="1" applyProtection="1">
      <alignment horizontal="center" vertical="center"/>
    </xf>
    <xf numFmtId="165" fontId="15" fillId="0" borderId="1" xfId="0" applyNumberFormat="1" applyFont="1" applyFill="1" applyBorder="1" applyAlignment="1" applyProtection="1">
      <alignment horizontal="center" vertical="center"/>
    </xf>
    <xf numFmtId="165" fontId="15" fillId="0" borderId="19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165" fontId="15" fillId="0" borderId="34" xfId="0" applyNumberFormat="1" applyFont="1" applyFill="1" applyBorder="1" applyAlignment="1" applyProtection="1">
      <alignment horizontal="center" vertical="center"/>
    </xf>
    <xf numFmtId="165" fontId="15" fillId="0" borderId="4" xfId="0" applyNumberFormat="1" applyFont="1" applyFill="1" applyBorder="1" applyAlignment="1" applyProtection="1">
      <alignment horizontal="center" vertical="center"/>
    </xf>
    <xf numFmtId="165" fontId="15" fillId="0" borderId="35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/>
    </xf>
    <xf numFmtId="0" fontId="5" fillId="0" borderId="27" xfId="0" applyFont="1" applyFill="1" applyBorder="1" applyAlignment="1" applyProtection="1">
      <alignment horizontal="center"/>
    </xf>
    <xf numFmtId="166" fontId="15" fillId="0" borderId="46" xfId="0" applyNumberFormat="1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 applyProtection="1">
      <alignment horizontal="left" vertical="center" wrapText="1"/>
    </xf>
    <xf numFmtId="0" fontId="5" fillId="0" borderId="31" xfId="0" applyFont="1" applyFill="1" applyBorder="1" applyAlignment="1" applyProtection="1"/>
    <xf numFmtId="0" fontId="5" fillId="0" borderId="24" xfId="0" applyFont="1" applyFill="1" applyBorder="1" applyAlignment="1" applyProtection="1"/>
    <xf numFmtId="0" fontId="5" fillId="0" borderId="25" xfId="0" applyFont="1" applyFill="1" applyBorder="1" applyAlignment="1" applyProtection="1"/>
    <xf numFmtId="0" fontId="15" fillId="0" borderId="14" xfId="0" applyFont="1" applyFill="1" applyBorder="1" applyAlignment="1" applyProtection="1">
      <alignment horizontal="left" vertical="center" wrapText="1"/>
    </xf>
    <xf numFmtId="0" fontId="15" fillId="0" borderId="19" xfId="0" applyFont="1" applyFill="1" applyBorder="1" applyAlignment="1" applyProtection="1">
      <alignment horizontal="left" vertical="center" wrapText="1"/>
    </xf>
    <xf numFmtId="166" fontId="16" fillId="0" borderId="46" xfId="0" applyNumberFormat="1" applyFont="1" applyFill="1" applyBorder="1" applyAlignment="1" applyProtection="1">
      <alignment horizontal="center" vertical="center"/>
    </xf>
    <xf numFmtId="0" fontId="18" fillId="0" borderId="46" xfId="0" applyFont="1" applyBorder="1" applyProtection="1"/>
    <xf numFmtId="166" fontId="16" fillId="0" borderId="46" xfId="0" applyNumberFormat="1" applyFont="1" applyFill="1" applyBorder="1" applyAlignment="1" applyProtection="1">
      <alignment horizontal="center" vertical="center"/>
      <protection locked="0"/>
    </xf>
    <xf numFmtId="0" fontId="18" fillId="0" borderId="46" xfId="0" applyFont="1" applyBorder="1" applyProtection="1">
      <protection locked="0"/>
    </xf>
    <xf numFmtId="0" fontId="1" fillId="0" borderId="26" xfId="0" applyFont="1" applyBorder="1" applyProtection="1"/>
    <xf numFmtId="0" fontId="18" fillId="0" borderId="64" xfId="0" applyFont="1" applyBorder="1" applyProtection="1"/>
    <xf numFmtId="2" fontId="15" fillId="0" borderId="29" xfId="0" applyNumberFormat="1" applyFont="1" applyFill="1" applyBorder="1" applyAlignment="1" applyProtection="1">
      <alignment horizontal="center" vertical="center"/>
    </xf>
    <xf numFmtId="2" fontId="15" fillId="0" borderId="3" xfId="0" applyNumberFormat="1" applyFont="1" applyFill="1" applyBorder="1" applyAlignment="1" applyProtection="1">
      <alignment horizontal="center" vertical="center"/>
    </xf>
    <xf numFmtId="2" fontId="15" fillId="0" borderId="30" xfId="0" applyNumberFormat="1" applyFont="1" applyFill="1" applyBorder="1" applyAlignment="1" applyProtection="1">
      <alignment horizontal="center" vertical="center"/>
    </xf>
    <xf numFmtId="2" fontId="15" fillId="0" borderId="14" xfId="0" applyNumberFormat="1" applyFont="1" applyFill="1" applyBorder="1" applyAlignment="1" applyProtection="1">
      <alignment horizontal="center" vertical="center"/>
    </xf>
    <xf numFmtId="2" fontId="15" fillId="0" borderId="1" xfId="0" applyNumberFormat="1" applyFont="1" applyFill="1" applyBorder="1" applyAlignment="1" applyProtection="1">
      <alignment horizontal="center" vertical="center"/>
    </xf>
    <xf numFmtId="2" fontId="15" fillId="0" borderId="19" xfId="0" applyNumberFormat="1" applyFont="1" applyFill="1" applyBorder="1" applyAlignment="1" applyProtection="1">
      <alignment horizontal="center" vertical="center"/>
    </xf>
    <xf numFmtId="166" fontId="15" fillId="0" borderId="14" xfId="0" applyNumberFormat="1" applyFont="1" applyFill="1" applyBorder="1" applyAlignment="1" applyProtection="1">
      <alignment horizontal="center" vertical="center"/>
    </xf>
    <xf numFmtId="166" fontId="15" fillId="0" borderId="1" xfId="0" applyNumberFormat="1" applyFont="1" applyFill="1" applyBorder="1" applyAlignment="1" applyProtection="1">
      <alignment horizontal="center" vertical="center"/>
    </xf>
    <xf numFmtId="166" fontId="15" fillId="0" borderId="19" xfId="0" applyNumberFormat="1" applyFont="1" applyFill="1" applyBorder="1" applyAlignment="1" applyProtection="1">
      <alignment horizontal="center" vertical="center"/>
    </xf>
    <xf numFmtId="0" fontId="15" fillId="0" borderId="34" xfId="0" applyFont="1" applyFill="1" applyBorder="1" applyAlignment="1" applyProtection="1">
      <alignment horizontal="left" vertical="center" wrapText="1"/>
    </xf>
    <xf numFmtId="0" fontId="15" fillId="0" borderId="4" xfId="0" applyFont="1" applyFill="1" applyBorder="1" applyAlignment="1" applyProtection="1">
      <alignment horizontal="left" vertical="center" wrapText="1"/>
    </xf>
    <xf numFmtId="0" fontId="15" fillId="0" borderId="35" xfId="0" applyFont="1" applyFill="1" applyBorder="1" applyAlignment="1" applyProtection="1">
      <alignment horizontal="left" vertical="center" wrapText="1"/>
    </xf>
    <xf numFmtId="0" fontId="9" fillId="0" borderId="50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14" xfId="0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15" fillId="3" borderId="44" xfId="0" applyFont="1" applyFill="1" applyBorder="1" applyAlignment="1" applyProtection="1">
      <alignment horizontal="center" vertical="center" wrapText="1"/>
      <protection locked="0"/>
    </xf>
    <xf numFmtId="0" fontId="15" fillId="3" borderId="45" xfId="0" applyFont="1" applyFill="1" applyBorder="1" applyAlignment="1" applyProtection="1">
      <alignment horizontal="center" vertical="center" wrapText="1"/>
      <protection locked="0"/>
    </xf>
    <xf numFmtId="0" fontId="15" fillId="3" borderId="46" xfId="0" applyFont="1" applyFill="1" applyBorder="1" applyAlignment="1" applyProtection="1">
      <alignment horizontal="center" vertical="center" wrapText="1"/>
      <protection locked="0"/>
    </xf>
    <xf numFmtId="0" fontId="15" fillId="3" borderId="47" xfId="0" applyFont="1" applyFill="1" applyBorder="1" applyAlignment="1" applyProtection="1">
      <alignment horizontal="center" vertical="center" wrapText="1"/>
      <protection locked="0"/>
    </xf>
    <xf numFmtId="0" fontId="7" fillId="3" borderId="46" xfId="0" applyFont="1" applyFill="1" applyBorder="1" applyAlignment="1" applyProtection="1">
      <alignment horizontal="center" vertical="center" wrapText="1"/>
      <protection locked="0"/>
    </xf>
    <xf numFmtId="0" fontId="7" fillId="3" borderId="47" xfId="0" applyFont="1" applyFill="1" applyBorder="1" applyAlignment="1" applyProtection="1">
      <alignment horizontal="center" vertical="center" wrapText="1"/>
      <protection locked="0"/>
    </xf>
    <xf numFmtId="0" fontId="7" fillId="3" borderId="64" xfId="0" applyFont="1" applyFill="1" applyBorder="1" applyAlignment="1" applyProtection="1">
      <alignment horizontal="center" vertical="center" wrapText="1"/>
      <protection locked="0"/>
    </xf>
    <xf numFmtId="0" fontId="7" fillId="3" borderId="65" xfId="0" applyFont="1" applyFill="1" applyBorder="1" applyAlignment="1" applyProtection="1">
      <alignment horizontal="center" vertical="center" wrapText="1"/>
      <protection locked="0"/>
    </xf>
    <xf numFmtId="0" fontId="7" fillId="3" borderId="43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5" fillId="3" borderId="42" xfId="0" applyFont="1" applyFill="1" applyBorder="1" applyAlignment="1" applyProtection="1">
      <alignment horizontal="center" vertical="center" wrapText="1"/>
      <protection locked="0"/>
    </xf>
    <xf numFmtId="0" fontId="7" fillId="3" borderId="42" xfId="0" applyFont="1" applyFill="1" applyBorder="1" applyAlignment="1" applyProtection="1">
      <alignment horizontal="center" vertical="center" wrapText="1"/>
      <protection locked="0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6" xfId="0" applyNumberFormat="1" applyFont="1" applyFill="1" applyBorder="1" applyAlignment="1" applyProtection="1">
      <alignment horizontal="center" vertical="center"/>
    </xf>
    <xf numFmtId="1" fontId="15" fillId="0" borderId="47" xfId="0" applyNumberFormat="1" applyFont="1" applyFill="1" applyBorder="1" applyAlignment="1" applyProtection="1">
      <alignment horizontal="center" vertical="center"/>
    </xf>
    <xf numFmtId="166" fontId="15" fillId="0" borderId="42" xfId="0" applyNumberFormat="1" applyFont="1" applyFill="1" applyBorder="1" applyAlignment="1" applyProtection="1">
      <alignment horizontal="center" vertical="center"/>
    </xf>
    <xf numFmtId="166" fontId="15" fillId="0" borderId="46" xfId="0" applyNumberFormat="1" applyFont="1" applyFill="1" applyBorder="1" applyAlignment="1" applyProtection="1">
      <alignment horizontal="center" vertical="center"/>
    </xf>
    <xf numFmtId="166" fontId="15" fillId="0" borderId="47" xfId="0" applyNumberFormat="1" applyFont="1" applyFill="1" applyBorder="1" applyAlignment="1" applyProtection="1">
      <alignment horizontal="center" vertical="center"/>
    </xf>
    <xf numFmtId="166" fontId="15" fillId="3" borderId="42" xfId="0" applyNumberFormat="1" applyFont="1" applyFill="1" applyBorder="1" applyAlignment="1" applyProtection="1">
      <alignment horizontal="center" vertical="center"/>
      <protection locked="0"/>
    </xf>
    <xf numFmtId="166" fontId="15" fillId="3" borderId="46" xfId="0" applyNumberFormat="1" applyFont="1" applyFill="1" applyBorder="1" applyAlignment="1" applyProtection="1">
      <alignment horizontal="center" vertical="center"/>
      <protection locked="0"/>
    </xf>
    <xf numFmtId="166" fontId="15" fillId="3" borderId="47" xfId="0" applyNumberFormat="1" applyFont="1" applyFill="1" applyBorder="1" applyAlignment="1" applyProtection="1">
      <alignment horizontal="center" vertical="center"/>
      <protection locked="0"/>
    </xf>
    <xf numFmtId="0" fontId="15" fillId="3" borderId="42" xfId="0" applyFont="1" applyFill="1" applyBorder="1" applyAlignment="1" applyProtection="1">
      <alignment horizontal="center" vertical="center"/>
      <protection locked="0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5" fillId="3" borderId="47" xfId="0" applyFont="1" applyFill="1" applyBorder="1" applyAlignment="1" applyProtection="1">
      <alignment horizontal="center" vertical="center"/>
      <protection locked="0"/>
    </xf>
    <xf numFmtId="0" fontId="15" fillId="0" borderId="56" xfId="0" applyFont="1" applyFill="1" applyBorder="1" applyAlignment="1" applyProtection="1">
      <alignment horizontal="center" vertical="center" wrapText="1"/>
    </xf>
    <xf numFmtId="0" fontId="15" fillId="0" borderId="57" xfId="0" applyFont="1" applyFill="1" applyBorder="1" applyAlignment="1" applyProtection="1">
      <alignment horizontal="center" vertical="center" wrapText="1"/>
    </xf>
    <xf numFmtId="0" fontId="15" fillId="0" borderId="58" xfId="0" applyFont="1" applyFill="1" applyBorder="1" applyAlignment="1" applyProtection="1">
      <alignment horizontal="center" vertical="center" wrapText="1"/>
    </xf>
    <xf numFmtId="2" fontId="9" fillId="0" borderId="54" xfId="0" applyNumberFormat="1" applyFont="1" applyFill="1" applyBorder="1" applyAlignment="1" applyProtection="1">
      <alignment horizontal="center" vertical="center"/>
    </xf>
    <xf numFmtId="2" fontId="9" fillId="0" borderId="53" xfId="0" applyNumberFormat="1" applyFont="1" applyFill="1" applyBorder="1" applyAlignment="1" applyProtection="1">
      <alignment horizontal="center" vertical="center"/>
    </xf>
    <xf numFmtId="2" fontId="9" fillId="0" borderId="55" xfId="0" applyNumberFormat="1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16" xfId="0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0" fontId="9" fillId="0" borderId="18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5" fillId="0" borderId="13" xfId="0" applyFont="1" applyFill="1" applyBorder="1" applyAlignment="1" applyProtection="1">
      <alignment horizontal="center"/>
    </xf>
    <xf numFmtId="0" fontId="5" fillId="0" borderId="14" xfId="0" applyFont="1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center"/>
    </xf>
    <xf numFmtId="0" fontId="5" fillId="0" borderId="16" xfId="0" applyFont="1" applyFill="1" applyBorder="1" applyAlignment="1" applyProtection="1">
      <alignment horizontal="center"/>
    </xf>
    <xf numFmtId="0" fontId="5" fillId="0" borderId="1" xfId="0" applyFont="1" applyFill="1" applyBorder="1" applyAlignment="1" applyProtection="1">
      <alignment horizontal="center"/>
    </xf>
    <xf numFmtId="0" fontId="5" fillId="0" borderId="17" xfId="0" applyFont="1" applyFill="1" applyBorder="1" applyAlignment="1" applyProtection="1">
      <alignment horizontal="center"/>
    </xf>
    <xf numFmtId="0" fontId="5" fillId="0" borderId="18" xfId="0" applyFont="1" applyFill="1" applyBorder="1" applyAlignment="1" applyProtection="1">
      <alignment horizontal="center"/>
    </xf>
    <xf numFmtId="0" fontId="5" fillId="0" borderId="19" xfId="0" applyFont="1" applyFill="1" applyBorder="1" applyAlignment="1" applyProtection="1">
      <alignment horizontal="center"/>
    </xf>
    <xf numFmtId="0" fontId="5" fillId="0" borderId="20" xfId="0" applyFont="1" applyFill="1" applyBorder="1" applyAlignment="1" applyProtection="1">
      <alignment horizontal="center"/>
    </xf>
    <xf numFmtId="0" fontId="5" fillId="0" borderId="31" xfId="0" applyFont="1" applyFill="1" applyBorder="1" applyAlignment="1" applyProtection="1">
      <alignment horizontal="center"/>
    </xf>
    <xf numFmtId="0" fontId="5" fillId="0" borderId="24" xfId="0" applyFont="1" applyFill="1" applyBorder="1" applyAlignment="1" applyProtection="1">
      <alignment horizontal="center"/>
    </xf>
    <xf numFmtId="0" fontId="5" fillId="0" borderId="25" xfId="0" applyFont="1" applyFill="1" applyBorder="1" applyAlignment="1" applyProtection="1">
      <alignment horizontal="center"/>
    </xf>
    <xf numFmtId="0" fontId="5" fillId="0" borderId="32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26" xfId="0" applyFont="1" applyFill="1" applyBorder="1" applyAlignment="1" applyProtection="1">
      <alignment horizontal="center"/>
    </xf>
    <xf numFmtId="0" fontId="5" fillId="0" borderId="33" xfId="0" applyFont="1" applyFill="1" applyBorder="1" applyAlignment="1" applyProtection="1">
      <alignment horizontal="center"/>
    </xf>
    <xf numFmtId="0" fontId="5" fillId="0" borderId="27" xfId="0" applyFont="1" applyFill="1" applyBorder="1" applyAlignment="1" applyProtection="1">
      <alignment horizontal="center"/>
    </xf>
    <xf numFmtId="0" fontId="5" fillId="0" borderId="28" xfId="0" applyFont="1" applyFill="1" applyBorder="1" applyAlignment="1" applyProtection="1">
      <alignment horizontal="center"/>
    </xf>
    <xf numFmtId="0" fontId="17" fillId="3" borderId="3" xfId="0" applyFont="1" applyFill="1" applyBorder="1" applyAlignment="1" applyProtection="1">
      <alignment horizontal="left" vertical="center"/>
      <protection locked="0"/>
    </xf>
    <xf numFmtId="0" fontId="18" fillId="0" borderId="5" xfId="0" applyFont="1" applyBorder="1" applyAlignment="1" applyProtection="1">
      <alignment horizontal="left" vertical="center"/>
      <protection locked="0"/>
    </xf>
    <xf numFmtId="0" fontId="18" fillId="0" borderId="38" xfId="0" applyFont="1" applyBorder="1" applyAlignment="1" applyProtection="1">
      <alignment horizontal="left" vertical="center"/>
      <protection locked="0"/>
    </xf>
    <xf numFmtId="0" fontId="16" fillId="2" borderId="22" xfId="0" applyFont="1" applyFill="1" applyBorder="1" applyAlignment="1" applyProtection="1">
      <alignment horizontal="left" vertical="center"/>
    </xf>
    <xf numFmtId="0" fontId="16" fillId="2" borderId="4" xfId="0" applyFont="1" applyFill="1" applyBorder="1" applyAlignment="1" applyProtection="1">
      <alignment horizontal="left" vertical="center"/>
    </xf>
    <xf numFmtId="0" fontId="13" fillId="0" borderId="10" xfId="0" applyFont="1" applyBorder="1" applyAlignment="1" applyProtection="1">
      <alignment horizontal="center" vertical="center"/>
    </xf>
    <xf numFmtId="0" fontId="13" fillId="0" borderId="11" xfId="0" applyFont="1" applyBorder="1" applyAlignment="1" applyProtection="1">
      <alignment horizontal="center" vertical="center"/>
    </xf>
    <xf numFmtId="0" fontId="13" fillId="0" borderId="12" xfId="0" applyFont="1" applyBorder="1" applyAlignment="1" applyProtection="1">
      <alignment horizontal="center" vertical="center"/>
    </xf>
    <xf numFmtId="0" fontId="14" fillId="0" borderId="56" xfId="0" applyFont="1" applyFill="1" applyBorder="1" applyAlignment="1" applyProtection="1">
      <alignment horizontal="center" vertical="center"/>
    </xf>
    <xf numFmtId="0" fontId="14" fillId="0" borderId="57" xfId="0" applyFont="1" applyFill="1" applyBorder="1" applyAlignment="1" applyProtection="1">
      <alignment horizontal="center" vertical="center"/>
    </xf>
    <xf numFmtId="0" fontId="14" fillId="0" borderId="58" xfId="0" applyFont="1" applyFill="1" applyBorder="1" applyAlignment="1" applyProtection="1">
      <alignment horizontal="center" vertical="center"/>
    </xf>
    <xf numFmtId="0" fontId="16" fillId="2" borderId="21" xfId="0" applyFont="1" applyFill="1" applyBorder="1" applyAlignment="1" applyProtection="1">
      <alignment horizontal="left" vertical="center"/>
    </xf>
    <xf numFmtId="0" fontId="16" fillId="2" borderId="34" xfId="0" applyFont="1" applyFill="1" applyBorder="1" applyAlignment="1" applyProtection="1">
      <alignment horizontal="left" vertical="center"/>
    </xf>
    <xf numFmtId="0" fontId="12" fillId="0" borderId="31" xfId="0" applyFont="1" applyBorder="1" applyAlignment="1" applyProtection="1">
      <alignment horizontal="center" vertical="center"/>
    </xf>
    <xf numFmtId="0" fontId="3" fillId="0" borderId="24" xfId="0" applyFont="1" applyBorder="1" applyAlignment="1" applyProtection="1">
      <alignment horizontal="center" vertical="center"/>
    </xf>
    <xf numFmtId="0" fontId="3" fillId="0" borderId="61" xfId="0" applyFont="1" applyBorder="1" applyAlignment="1" applyProtection="1">
      <alignment horizontal="center" vertical="center"/>
    </xf>
    <xf numFmtId="0" fontId="3" fillId="0" borderId="62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19" fillId="0" borderId="16" xfId="0" applyFont="1" applyBorder="1" applyAlignment="1" applyProtection="1">
      <alignment horizontal="center" vertical="center"/>
    </xf>
    <xf numFmtId="0" fontId="19" fillId="0" borderId="1" xfId="0" applyFont="1" applyBorder="1" applyAlignment="1" applyProtection="1">
      <alignment horizontal="center" vertical="center"/>
    </xf>
    <xf numFmtId="0" fontId="11" fillId="0" borderId="63" xfId="0" applyFont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horizontal="center" vertical="center"/>
    </xf>
    <xf numFmtId="0" fontId="15" fillId="0" borderId="32" xfId="0" applyFont="1" applyFill="1" applyBorder="1" applyAlignment="1" applyProtection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 wrapText="1"/>
    </xf>
    <xf numFmtId="0" fontId="15" fillId="0" borderId="26" xfId="0" applyFont="1" applyFill="1" applyBorder="1" applyAlignment="1" applyProtection="1">
      <alignment horizontal="center" vertical="center" wrapText="1"/>
    </xf>
    <xf numFmtId="0" fontId="16" fillId="2" borderId="23" xfId="0" applyFont="1" applyFill="1" applyBorder="1" applyAlignment="1" applyProtection="1">
      <alignment horizontal="left" vertical="center"/>
    </xf>
    <xf numFmtId="0" fontId="16" fillId="2" borderId="35" xfId="0" applyFont="1" applyFill="1" applyBorder="1" applyAlignment="1" applyProtection="1">
      <alignment horizontal="left" vertical="center"/>
    </xf>
    <xf numFmtId="15" fontId="17" fillId="3" borderId="30" xfId="0" quotePrefix="1" applyNumberFormat="1" applyFont="1" applyFill="1" applyBorder="1" applyAlignment="1" applyProtection="1">
      <alignment horizontal="left" vertical="center"/>
      <protection locked="0"/>
    </xf>
    <xf numFmtId="0" fontId="18" fillId="0" borderId="39" xfId="0" applyFont="1" applyBorder="1" applyAlignment="1" applyProtection="1">
      <alignment horizontal="left" vertical="center"/>
      <protection locked="0"/>
    </xf>
    <xf numFmtId="0" fontId="18" fillId="0" borderId="40" xfId="0" applyFont="1" applyBorder="1" applyAlignment="1" applyProtection="1">
      <alignment horizontal="left" vertical="center"/>
      <protection locked="0"/>
    </xf>
    <xf numFmtId="0" fontId="16" fillId="2" borderId="36" xfId="0" applyFont="1" applyFill="1" applyBorder="1" applyAlignment="1" applyProtection="1">
      <alignment horizontal="left" vertical="center"/>
    </xf>
    <xf numFmtId="0" fontId="16" fillId="2" borderId="5" xfId="0" applyFont="1" applyFill="1" applyBorder="1" applyAlignment="1" applyProtection="1">
      <alignment horizontal="left" vertical="center"/>
    </xf>
    <xf numFmtId="0" fontId="16" fillId="2" borderId="39" xfId="0" applyFont="1" applyFill="1" applyBorder="1" applyAlignment="1" applyProtection="1">
      <alignment horizontal="left" vertical="center"/>
    </xf>
    <xf numFmtId="0" fontId="17" fillId="0" borderId="16" xfId="0" applyFont="1" applyFill="1" applyBorder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left" vertical="center"/>
    </xf>
    <xf numFmtId="0" fontId="17" fillId="0" borderId="17" xfId="0" applyFont="1" applyFill="1" applyBorder="1" applyAlignment="1" applyProtection="1">
      <alignment horizontal="left" vertical="center"/>
    </xf>
    <xf numFmtId="15" fontId="17" fillId="0" borderId="18" xfId="0" applyNumberFormat="1" applyFont="1" applyFill="1" applyBorder="1" applyAlignment="1" applyProtection="1">
      <alignment horizontal="left" vertical="center"/>
    </xf>
    <xf numFmtId="15" fontId="17" fillId="0" borderId="19" xfId="0" applyNumberFormat="1" applyFont="1" applyFill="1" applyBorder="1" applyAlignment="1" applyProtection="1">
      <alignment horizontal="left" vertical="center"/>
    </xf>
    <xf numFmtId="15" fontId="17" fillId="0" borderId="20" xfId="0" applyNumberFormat="1" applyFont="1" applyFill="1" applyBorder="1" applyAlignment="1" applyProtection="1">
      <alignment horizontal="left" vertical="center"/>
    </xf>
    <xf numFmtId="0" fontId="15" fillId="0" borderId="44" xfId="0" applyFont="1" applyFill="1" applyBorder="1" applyAlignment="1" applyProtection="1">
      <alignment horizontal="center" vertical="center" wrapText="1"/>
    </xf>
    <xf numFmtId="0" fontId="15" fillId="0" borderId="46" xfId="0" applyFont="1" applyFill="1" applyBorder="1" applyAlignment="1" applyProtection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0" fontId="15" fillId="0" borderId="13" xfId="0" applyFont="1" applyFill="1" applyBorder="1" applyAlignment="1" applyProtection="1">
      <alignment horizontal="center" vertical="center" wrapText="1"/>
    </xf>
    <xf numFmtId="0" fontId="15" fillId="0" borderId="16" xfId="0" applyFont="1" applyFill="1" applyBorder="1" applyAlignment="1" applyProtection="1">
      <alignment horizontal="center" vertical="center" wrapText="1"/>
    </xf>
    <xf numFmtId="0" fontId="15" fillId="0" borderId="18" xfId="0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0" fontId="15" fillId="0" borderId="19" xfId="0" applyFont="1" applyFill="1" applyBorder="1" applyAlignment="1" applyProtection="1">
      <alignment horizontal="center" vertical="center" wrapText="1"/>
    </xf>
    <xf numFmtId="165" fontId="16" fillId="3" borderId="14" xfId="0" applyNumberFormat="1" applyFont="1" applyFill="1" applyBorder="1" applyAlignment="1" applyProtection="1">
      <alignment horizontal="center" vertical="center"/>
      <protection locked="0"/>
    </xf>
    <xf numFmtId="165" fontId="16" fillId="3" borderId="1" xfId="0" applyNumberFormat="1" applyFont="1" applyFill="1" applyBorder="1" applyAlignment="1" applyProtection="1">
      <alignment horizontal="center" vertical="center"/>
      <protection locked="0"/>
    </xf>
    <xf numFmtId="165" fontId="16" fillId="3" borderId="19" xfId="0" applyNumberFormat="1" applyFont="1" applyFill="1" applyBorder="1" applyAlignment="1" applyProtection="1">
      <alignment horizontal="center" vertical="center"/>
      <protection locked="0"/>
    </xf>
    <xf numFmtId="166" fontId="16" fillId="0" borderId="14" xfId="0" applyNumberFormat="1" applyFont="1" applyFill="1" applyBorder="1" applyAlignment="1" applyProtection="1">
      <alignment horizontal="center" vertical="center"/>
    </xf>
    <xf numFmtId="166" fontId="16" fillId="0" borderId="1" xfId="0" applyNumberFormat="1" applyFont="1" applyFill="1" applyBorder="1" applyAlignment="1" applyProtection="1">
      <alignment horizontal="center" vertical="center"/>
    </xf>
    <xf numFmtId="166" fontId="16" fillId="0" borderId="19" xfId="0" applyNumberFormat="1" applyFont="1" applyFill="1" applyBorder="1" applyAlignment="1" applyProtection="1">
      <alignment horizontal="center" vertical="center"/>
    </xf>
    <xf numFmtId="165" fontId="16" fillId="0" borderId="15" xfId="0" applyNumberFormat="1" applyFont="1" applyFill="1" applyBorder="1" applyAlignment="1" applyProtection="1">
      <alignment horizontal="center" vertical="center"/>
    </xf>
    <xf numFmtId="165" fontId="16" fillId="0" borderId="17" xfId="0" applyNumberFormat="1" applyFont="1" applyFill="1" applyBorder="1" applyAlignment="1" applyProtection="1">
      <alignment horizontal="center" vertical="center"/>
    </xf>
    <xf numFmtId="165" fontId="16" fillId="0" borderId="20" xfId="0" applyNumberFormat="1" applyFont="1" applyFill="1" applyBorder="1" applyAlignment="1" applyProtection="1">
      <alignment horizontal="center" vertical="center"/>
    </xf>
    <xf numFmtId="0" fontId="15" fillId="0" borderId="41" xfId="0" applyFont="1" applyFill="1" applyBorder="1" applyAlignment="1" applyProtection="1">
      <alignment horizontal="center" vertical="center" wrapText="1"/>
    </xf>
    <xf numFmtId="0" fontId="15" fillId="0" borderId="45" xfId="0" applyFont="1" applyFill="1" applyBorder="1" applyAlignment="1" applyProtection="1">
      <alignment horizontal="center" vertical="center" wrapText="1"/>
    </xf>
    <xf numFmtId="0" fontId="15" fillId="0" borderId="42" xfId="0" applyFont="1" applyFill="1" applyBorder="1" applyAlignment="1" applyProtection="1">
      <alignment horizontal="center" vertical="center" wrapText="1"/>
    </xf>
    <xf numFmtId="0" fontId="15" fillId="0" borderId="47" xfId="0" applyFont="1" applyFill="1" applyBorder="1" applyAlignment="1" applyProtection="1">
      <alignment horizontal="center" vertical="center" wrapText="1"/>
    </xf>
    <xf numFmtId="2" fontId="16" fillId="3" borderId="14" xfId="0" applyNumberFormat="1" applyFont="1" applyFill="1" applyBorder="1" applyAlignment="1" applyProtection="1">
      <alignment horizontal="center" vertical="center"/>
      <protection locked="0"/>
    </xf>
    <xf numFmtId="2" fontId="16" fillId="3" borderId="1" xfId="0" applyNumberFormat="1" applyFont="1" applyFill="1" applyBorder="1" applyAlignment="1" applyProtection="1">
      <alignment horizontal="center" vertical="center"/>
      <protection locked="0"/>
    </xf>
    <xf numFmtId="2" fontId="16" fillId="3" borderId="19" xfId="0" applyNumberFormat="1" applyFont="1" applyFill="1" applyBorder="1" applyAlignment="1" applyProtection="1">
      <alignment horizontal="center" vertical="center"/>
      <protection locked="0"/>
    </xf>
    <xf numFmtId="0" fontId="15" fillId="0" borderId="61" xfId="0" applyFont="1" applyFill="1" applyBorder="1" applyAlignment="1" applyProtection="1">
      <alignment horizontal="center" vertical="center" wrapText="1"/>
    </xf>
    <xf numFmtId="0" fontId="15" fillId="0" borderId="66" xfId="0" applyFont="1" applyFill="1" applyBorder="1" applyAlignment="1" applyProtection="1">
      <alignment horizontal="center" vertical="center" wrapText="1"/>
    </xf>
    <xf numFmtId="0" fontId="15" fillId="0" borderId="67" xfId="0" applyFont="1" applyFill="1" applyBorder="1" applyAlignment="1" applyProtection="1">
      <alignment horizontal="center" vertical="center" wrapText="1"/>
    </xf>
    <xf numFmtId="0" fontId="15" fillId="0" borderId="31" xfId="0" applyFont="1" applyFill="1" applyBorder="1" applyAlignment="1" applyProtection="1">
      <alignment horizontal="center" vertical="center" wrapText="1"/>
    </xf>
    <xf numFmtId="0" fontId="15" fillId="0" borderId="33" xfId="0" applyFont="1" applyFill="1" applyBorder="1" applyAlignment="1" applyProtection="1">
      <alignment horizontal="center" vertical="center" wrapText="1"/>
    </xf>
    <xf numFmtId="0" fontId="12" fillId="0" borderId="24" xfId="0" applyFont="1" applyBorder="1" applyAlignment="1" applyProtection="1">
      <alignment horizontal="center" vertical="center"/>
    </xf>
    <xf numFmtId="0" fontId="12" fillId="0" borderId="25" xfId="0" applyFont="1" applyBorder="1" applyAlignment="1" applyProtection="1">
      <alignment horizontal="center" vertical="center"/>
    </xf>
    <xf numFmtId="0" fontId="12" fillId="0" borderId="32" xfId="0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/>
    </xf>
    <xf numFmtId="0" fontId="12" fillId="0" borderId="26" xfId="0" applyFont="1" applyBorder="1" applyAlignment="1" applyProtection="1">
      <alignment horizontal="center" vertical="center"/>
    </xf>
    <xf numFmtId="0" fontId="19" fillId="0" borderId="32" xfId="0" applyFont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center" vertical="center"/>
    </xf>
    <xf numFmtId="0" fontId="19" fillId="0" borderId="26" xfId="0" applyFont="1" applyBorder="1" applyAlignment="1" applyProtection="1">
      <alignment horizontal="center" vertical="center"/>
    </xf>
    <xf numFmtId="0" fontId="11" fillId="0" borderId="32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26" xfId="0" applyFont="1" applyBorder="1" applyAlignment="1" applyProtection="1">
      <alignment horizontal="center" vertical="center"/>
    </xf>
    <xf numFmtId="0" fontId="17" fillId="0" borderId="13" xfId="0" applyFont="1" applyFill="1" applyBorder="1" applyAlignment="1" applyProtection="1">
      <alignment horizontal="left" vertical="center"/>
    </xf>
    <xf numFmtId="0" fontId="17" fillId="0" borderId="14" xfId="0" applyFont="1" applyFill="1" applyBorder="1" applyAlignment="1" applyProtection="1">
      <alignment horizontal="left" vertical="center"/>
    </xf>
    <xf numFmtId="0" fontId="17" fillId="0" borderId="15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1E0F3"/>
      <color rgb="FFE7EFF9"/>
      <color rgb="FFB8CCE4"/>
      <color rgb="FFFFFF66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opLeftCell="A40" zoomScale="40" zoomScaleNormal="40" zoomScaleSheetLayoutView="25" workbookViewId="0">
      <selection activeCell="J61" sqref="J61:J64"/>
    </sheetView>
  </sheetViews>
  <sheetFormatPr defaultColWidth="9.109375" defaultRowHeight="17.100000000000001" customHeight="1" x14ac:dyDescent="0.3"/>
  <cols>
    <col min="1" max="1" width="34.33203125" style="2" customWidth="1"/>
    <col min="2" max="2" width="39.5546875" style="2" customWidth="1"/>
    <col min="3" max="3" width="23.44140625" style="2" customWidth="1"/>
    <col min="4" max="4" width="29.33203125" style="2" customWidth="1"/>
    <col min="5" max="5" width="26" style="2" customWidth="1"/>
    <col min="6" max="6" width="23.33203125" style="2" customWidth="1"/>
    <col min="7" max="7" width="19.88671875" style="3" customWidth="1"/>
    <col min="8" max="8" width="22.5546875" style="2" customWidth="1"/>
    <col min="9" max="9" width="20.33203125" style="2" customWidth="1"/>
    <col min="10" max="10" width="23.6640625" style="2" customWidth="1"/>
    <col min="11" max="11" width="22.6640625" style="2" customWidth="1"/>
    <col min="12" max="12" width="14.33203125" style="2" customWidth="1"/>
    <col min="13" max="13" width="21.33203125" style="2" customWidth="1"/>
    <col min="14" max="16" width="17.109375" style="3" customWidth="1"/>
    <col min="17" max="16384" width="9.109375" style="2"/>
  </cols>
  <sheetData>
    <row r="1" spans="1:16" s="16" customFormat="1" ht="21" customHeight="1" x14ac:dyDescent="0.25">
      <c r="A1" s="205" t="s">
        <v>29</v>
      </c>
      <c r="B1" s="206"/>
      <c r="C1" s="206"/>
      <c r="D1" s="206"/>
      <c r="E1" s="206"/>
      <c r="F1" s="206"/>
      <c r="G1" s="206"/>
      <c r="H1" s="206"/>
      <c r="I1" s="206"/>
      <c r="J1" s="206"/>
      <c r="K1" s="207"/>
      <c r="L1" s="21"/>
      <c r="M1" s="21"/>
      <c r="N1" s="22"/>
      <c r="O1" s="23"/>
      <c r="P1" s="25"/>
    </row>
    <row r="2" spans="1:16" s="16" customFormat="1" ht="21" customHeight="1" x14ac:dyDescent="0.25">
      <c r="A2" s="208"/>
      <c r="B2" s="209"/>
      <c r="C2" s="209"/>
      <c r="D2" s="209"/>
      <c r="E2" s="209"/>
      <c r="F2" s="209"/>
      <c r="G2" s="209"/>
      <c r="H2" s="209"/>
      <c r="I2" s="209"/>
      <c r="J2" s="209"/>
      <c r="K2" s="210"/>
      <c r="L2" s="24"/>
      <c r="M2" s="24"/>
      <c r="N2" s="25"/>
      <c r="O2" s="26"/>
      <c r="P2" s="25"/>
    </row>
    <row r="3" spans="1:16" s="16" customFormat="1" ht="27.9" customHeight="1" x14ac:dyDescent="0.25">
      <c r="A3" s="211" t="s">
        <v>71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4"/>
      <c r="M3" s="24"/>
      <c r="N3" s="25"/>
      <c r="O3" s="26"/>
      <c r="P3" s="25"/>
    </row>
    <row r="4" spans="1:16" s="16" customFormat="1" ht="27.9" customHeight="1" x14ac:dyDescent="0.25">
      <c r="A4" s="211" t="s">
        <v>18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4"/>
      <c r="M4" s="24"/>
      <c r="N4" s="25"/>
      <c r="O4" s="26"/>
      <c r="P4" s="25"/>
    </row>
    <row r="5" spans="1:16" s="1" customFormat="1" ht="27.9" customHeight="1" x14ac:dyDescent="0.3">
      <c r="A5" s="211" t="s">
        <v>50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7"/>
      <c r="M5" s="27"/>
      <c r="N5" s="28"/>
      <c r="O5" s="29"/>
      <c r="P5" s="28"/>
    </row>
    <row r="6" spans="1:16" s="1" customFormat="1" ht="27.9" customHeight="1" thickBot="1" x14ac:dyDescent="0.35">
      <c r="A6" s="213"/>
      <c r="B6" s="214"/>
      <c r="C6" s="214"/>
      <c r="D6" s="214"/>
      <c r="E6" s="214"/>
      <c r="F6" s="214"/>
      <c r="G6" s="214"/>
      <c r="H6" s="214"/>
      <c r="I6" s="214"/>
      <c r="J6" s="214"/>
      <c r="K6" s="215"/>
      <c r="L6" s="27"/>
      <c r="M6" s="27"/>
      <c r="N6" s="28"/>
      <c r="O6" s="29"/>
      <c r="P6" s="28"/>
    </row>
    <row r="7" spans="1:16" s="57" customFormat="1" ht="27.9" customHeight="1" x14ac:dyDescent="0.45">
      <c r="A7" s="203" t="s">
        <v>19</v>
      </c>
      <c r="B7" s="204"/>
      <c r="C7" s="192" t="s">
        <v>60</v>
      </c>
      <c r="D7" s="193"/>
      <c r="E7" s="193"/>
      <c r="F7" s="193"/>
      <c r="G7" s="193"/>
      <c r="H7" s="193"/>
      <c r="I7" s="193"/>
      <c r="J7" s="193"/>
      <c r="K7" s="194"/>
      <c r="L7" s="54"/>
      <c r="M7" s="54"/>
      <c r="N7" s="55"/>
      <c r="O7" s="56"/>
      <c r="P7" s="55"/>
    </row>
    <row r="8" spans="1:16" s="57" customFormat="1" ht="27.9" customHeight="1" x14ac:dyDescent="0.45">
      <c r="A8" s="195" t="s">
        <v>20</v>
      </c>
      <c r="B8" s="196"/>
      <c r="C8" s="192" t="s">
        <v>60</v>
      </c>
      <c r="D8" s="193"/>
      <c r="E8" s="193"/>
      <c r="F8" s="193"/>
      <c r="G8" s="193"/>
      <c r="H8" s="193"/>
      <c r="I8" s="193"/>
      <c r="J8" s="193"/>
      <c r="K8" s="194"/>
      <c r="L8" s="54"/>
      <c r="M8" s="54"/>
      <c r="N8" s="55"/>
      <c r="O8" s="56"/>
      <c r="P8" s="55"/>
    </row>
    <row r="9" spans="1:16" s="61" customFormat="1" ht="27.9" customHeight="1" x14ac:dyDescent="0.45">
      <c r="A9" s="195" t="s">
        <v>21</v>
      </c>
      <c r="B9" s="196"/>
      <c r="C9" s="192" t="s">
        <v>35</v>
      </c>
      <c r="D9" s="193"/>
      <c r="E9" s="193"/>
      <c r="F9" s="193"/>
      <c r="G9" s="193"/>
      <c r="H9" s="193"/>
      <c r="I9" s="193"/>
      <c r="J9" s="193"/>
      <c r="K9" s="194"/>
      <c r="L9" s="58"/>
      <c r="M9" s="58"/>
      <c r="N9" s="59"/>
      <c r="O9" s="60"/>
      <c r="P9" s="59"/>
    </row>
    <row r="10" spans="1:16" s="61" customFormat="1" ht="27.9" customHeight="1" x14ac:dyDescent="0.45">
      <c r="A10" s="195" t="s">
        <v>22</v>
      </c>
      <c r="B10" s="196"/>
      <c r="C10" s="192" t="s">
        <v>45</v>
      </c>
      <c r="D10" s="193"/>
      <c r="E10" s="193"/>
      <c r="F10" s="193"/>
      <c r="G10" s="193"/>
      <c r="H10" s="193"/>
      <c r="I10" s="193"/>
      <c r="J10" s="193"/>
      <c r="K10" s="194"/>
      <c r="L10" s="58"/>
      <c r="M10" s="58"/>
      <c r="N10" s="59"/>
      <c r="O10" s="60"/>
      <c r="P10" s="59"/>
    </row>
    <row r="11" spans="1:16" s="57" customFormat="1" ht="27.9" customHeight="1" x14ac:dyDescent="0.45">
      <c r="A11" s="195" t="s">
        <v>23</v>
      </c>
      <c r="B11" s="196"/>
      <c r="C11" s="192" t="s">
        <v>46</v>
      </c>
      <c r="D11" s="193"/>
      <c r="E11" s="193"/>
      <c r="F11" s="193"/>
      <c r="G11" s="193"/>
      <c r="H11" s="193"/>
      <c r="I11" s="193"/>
      <c r="J11" s="193"/>
      <c r="K11" s="194"/>
      <c r="L11" s="54"/>
      <c r="M11" s="54"/>
      <c r="N11" s="55"/>
      <c r="O11" s="56"/>
      <c r="P11" s="55"/>
    </row>
    <row r="12" spans="1:16" s="57" customFormat="1" ht="27.9" customHeight="1" x14ac:dyDescent="0.45">
      <c r="A12" s="195" t="s">
        <v>24</v>
      </c>
      <c r="B12" s="196"/>
      <c r="C12" s="192" t="s">
        <v>44</v>
      </c>
      <c r="D12" s="193"/>
      <c r="E12" s="193"/>
      <c r="F12" s="193"/>
      <c r="G12" s="193"/>
      <c r="H12" s="193"/>
      <c r="I12" s="193"/>
      <c r="J12" s="193"/>
      <c r="K12" s="194"/>
      <c r="L12" s="54"/>
      <c r="M12" s="54"/>
      <c r="N12" s="55"/>
      <c r="O12" s="56"/>
      <c r="P12" s="55"/>
    </row>
    <row r="13" spans="1:16" s="57" customFormat="1" ht="27.9" customHeight="1" thickBot="1" x14ac:dyDescent="0.5">
      <c r="A13" s="219" t="s">
        <v>25</v>
      </c>
      <c r="B13" s="220"/>
      <c r="C13" s="221">
        <v>45621</v>
      </c>
      <c r="D13" s="222"/>
      <c r="E13" s="222"/>
      <c r="F13" s="222"/>
      <c r="G13" s="222"/>
      <c r="H13" s="222"/>
      <c r="I13" s="222"/>
      <c r="J13" s="222"/>
      <c r="K13" s="223"/>
      <c r="L13" s="54"/>
      <c r="M13" s="54"/>
      <c r="N13" s="55"/>
      <c r="O13" s="56"/>
      <c r="P13" s="55"/>
    </row>
    <row r="14" spans="1:16" ht="27.9" customHeight="1" thickBot="1" x14ac:dyDescent="0.35">
      <c r="A14" s="30"/>
      <c r="B14" s="31"/>
      <c r="C14" s="31"/>
      <c r="D14" s="31"/>
      <c r="E14" s="31"/>
      <c r="F14" s="31"/>
      <c r="G14" s="32"/>
      <c r="H14" s="31"/>
      <c r="I14" s="31"/>
      <c r="J14" s="31"/>
      <c r="K14" s="31"/>
      <c r="L14" s="31"/>
      <c r="M14" s="31"/>
      <c r="N14" s="32"/>
      <c r="O14" s="33"/>
      <c r="P14" s="32"/>
    </row>
    <row r="15" spans="1:16" ht="60.75" customHeight="1" thickBot="1" x14ac:dyDescent="0.35">
      <c r="A15" s="197" t="s">
        <v>26</v>
      </c>
      <c r="B15" s="198"/>
      <c r="C15" s="198"/>
      <c r="D15" s="198"/>
      <c r="E15" s="198"/>
      <c r="F15" s="198"/>
      <c r="G15" s="198"/>
      <c r="H15" s="198"/>
      <c r="I15" s="198"/>
      <c r="J15" s="198"/>
      <c r="K15" s="199"/>
      <c r="L15" s="31"/>
      <c r="M15" s="31"/>
      <c r="N15" s="32"/>
      <c r="O15" s="33"/>
      <c r="P15" s="32"/>
    </row>
    <row r="16" spans="1:16" ht="17.100000000000001" customHeight="1" x14ac:dyDescent="0.3">
      <c r="A16" s="34"/>
      <c r="B16" s="4"/>
      <c r="C16" s="4"/>
      <c r="D16" s="4"/>
      <c r="E16" s="4"/>
      <c r="F16" s="4"/>
      <c r="G16" s="5"/>
      <c r="H16" s="4"/>
      <c r="I16" s="4"/>
      <c r="J16" s="4"/>
      <c r="K16" s="31"/>
      <c r="L16" s="31"/>
      <c r="M16" s="31"/>
      <c r="N16" s="32"/>
      <c r="O16" s="33"/>
      <c r="P16" s="32"/>
    </row>
    <row r="17" spans="1:16" ht="49.2" x14ac:dyDescent="0.3">
      <c r="A17" s="47" t="s">
        <v>28</v>
      </c>
      <c r="B17" s="48" t="s">
        <v>12</v>
      </c>
      <c r="C17" s="48" t="s">
        <v>4</v>
      </c>
      <c r="D17" s="48" t="s">
        <v>5</v>
      </c>
      <c r="E17" s="48" t="s">
        <v>4</v>
      </c>
      <c r="F17" s="48" t="s">
        <v>5</v>
      </c>
      <c r="G17" s="48" t="s">
        <v>4</v>
      </c>
      <c r="H17" s="48" t="s">
        <v>17</v>
      </c>
      <c r="I17" s="48" t="s">
        <v>40</v>
      </c>
      <c r="J17" s="48" t="s">
        <v>38</v>
      </c>
      <c r="K17" s="48" t="s">
        <v>39</v>
      </c>
      <c r="L17" s="31"/>
      <c r="M17" s="31"/>
      <c r="N17" s="32"/>
      <c r="O17" s="33"/>
      <c r="P17" s="32"/>
    </row>
    <row r="18" spans="1:16" ht="27.9" customHeight="1" x14ac:dyDescent="0.3">
      <c r="A18" s="49" t="s">
        <v>32</v>
      </c>
      <c r="B18" s="50">
        <v>99.1</v>
      </c>
      <c r="C18" s="51">
        <v>50</v>
      </c>
      <c r="D18" s="51">
        <v>6</v>
      </c>
      <c r="E18" s="51">
        <v>100</v>
      </c>
      <c r="F18" s="51">
        <v>1</v>
      </c>
      <c r="G18" s="51">
        <v>1</v>
      </c>
      <c r="H18" s="50">
        <v>100</v>
      </c>
      <c r="I18" s="53">
        <v>1</v>
      </c>
      <c r="J18" s="53">
        <v>1</v>
      </c>
      <c r="K18" s="52">
        <f>IFERROR((B18/C18*D18/E18*F18/G18*H18/100*I18/J18*1000), "")</f>
        <v>118.92</v>
      </c>
      <c r="L18" s="31"/>
      <c r="M18" s="31"/>
      <c r="N18" s="32"/>
      <c r="O18" s="33"/>
      <c r="P18" s="32"/>
    </row>
    <row r="19" spans="1:16" ht="27.9" customHeight="1" x14ac:dyDescent="0.3">
      <c r="A19" s="49" t="s">
        <v>34</v>
      </c>
      <c r="B19" s="50">
        <v>46.79</v>
      </c>
      <c r="C19" s="51">
        <v>50</v>
      </c>
      <c r="D19" s="51">
        <v>6</v>
      </c>
      <c r="E19" s="51">
        <v>100</v>
      </c>
      <c r="F19" s="51">
        <v>1</v>
      </c>
      <c r="G19" s="51">
        <v>1</v>
      </c>
      <c r="H19" s="50">
        <v>99.3</v>
      </c>
      <c r="I19" s="53">
        <v>721.96019999999999</v>
      </c>
      <c r="J19" s="53">
        <v>744.95</v>
      </c>
      <c r="K19" s="52">
        <f t="shared" ref="K19:K21" si="0">IFERROR((B19/C19*D19/E19*F19/G19*H19/100*I19/J19*1000), "")</f>
        <v>54.03431768633169</v>
      </c>
      <c r="L19" s="31"/>
      <c r="M19" s="31"/>
      <c r="N19" s="32"/>
      <c r="O19" s="33"/>
      <c r="P19" s="32"/>
    </row>
    <row r="20" spans="1:16" ht="27.9" customHeight="1" x14ac:dyDescent="0.3">
      <c r="A20" s="49" t="s">
        <v>30</v>
      </c>
      <c r="B20" s="50">
        <v>28.51</v>
      </c>
      <c r="C20" s="51">
        <v>100</v>
      </c>
      <c r="D20" s="51">
        <v>1</v>
      </c>
      <c r="E20" s="51">
        <v>1</v>
      </c>
      <c r="F20" s="51">
        <v>1</v>
      </c>
      <c r="G20" s="51">
        <v>1</v>
      </c>
      <c r="H20" s="50">
        <v>100</v>
      </c>
      <c r="I20" s="53">
        <v>1</v>
      </c>
      <c r="J20" s="53">
        <v>1</v>
      </c>
      <c r="K20" s="52">
        <f t="shared" si="0"/>
        <v>285.10000000000002</v>
      </c>
      <c r="L20" s="31"/>
      <c r="M20" s="31"/>
      <c r="N20" s="32"/>
      <c r="O20" s="33"/>
      <c r="P20" s="32"/>
    </row>
    <row r="21" spans="1:16" ht="27.9" customHeight="1" x14ac:dyDescent="0.3">
      <c r="A21" s="49" t="s">
        <v>31</v>
      </c>
      <c r="B21" s="50">
        <v>49.32</v>
      </c>
      <c r="C21" s="51">
        <v>100</v>
      </c>
      <c r="D21" s="51">
        <v>1</v>
      </c>
      <c r="E21" s="51">
        <v>1</v>
      </c>
      <c r="F21" s="51">
        <v>1</v>
      </c>
      <c r="G21" s="51">
        <v>1</v>
      </c>
      <c r="H21" s="50">
        <v>99.2</v>
      </c>
      <c r="I21" s="53">
        <v>1</v>
      </c>
      <c r="J21" s="53">
        <v>1</v>
      </c>
      <c r="K21" s="52">
        <f t="shared" si="0"/>
        <v>489.25440000000003</v>
      </c>
      <c r="L21" s="31"/>
      <c r="M21" s="31"/>
      <c r="N21" s="32"/>
      <c r="O21" s="33"/>
      <c r="P21" s="32"/>
    </row>
    <row r="22" spans="1:16" ht="27.9" customHeight="1" x14ac:dyDescent="0.3">
      <c r="A22" s="35"/>
      <c r="B22" s="14"/>
      <c r="C22" s="14"/>
      <c r="D22" s="14"/>
      <c r="E22" s="14"/>
      <c r="F22" s="15"/>
      <c r="G22" s="15"/>
      <c r="H22" s="36"/>
      <c r="I22" s="36"/>
      <c r="J22" s="15"/>
      <c r="K22" s="37"/>
      <c r="L22" s="31"/>
      <c r="M22" s="31"/>
      <c r="N22" s="32"/>
      <c r="O22" s="33"/>
      <c r="P22" s="32"/>
    </row>
    <row r="23" spans="1:16" s="13" customFormat="1" ht="48" customHeight="1" x14ac:dyDescent="0.3">
      <c r="A23" s="47" t="s">
        <v>26</v>
      </c>
      <c r="B23" s="48" t="str">
        <f>A18</f>
        <v>Tricaprylin</v>
      </c>
      <c r="C23" s="48" t="s">
        <v>33</v>
      </c>
      <c r="D23" s="48" t="str">
        <f>A20</f>
        <v>Cholesterol</v>
      </c>
      <c r="E23" s="48" t="str">
        <f>A21</f>
        <v>DEPC</v>
      </c>
      <c r="F23" s="62"/>
      <c r="G23" s="63" t="s">
        <v>36</v>
      </c>
      <c r="H23" s="48" t="str">
        <f>A18</f>
        <v>Tricaprylin</v>
      </c>
      <c r="I23" s="48" t="str">
        <f>C23</f>
        <v>DPPG</v>
      </c>
      <c r="J23" s="48" t="str">
        <f>A20</f>
        <v>Cholesterol</v>
      </c>
      <c r="K23" s="48" t="str">
        <f>A21</f>
        <v>DEPC</v>
      </c>
      <c r="L23" s="38"/>
      <c r="M23" s="38"/>
      <c r="N23" s="39"/>
      <c r="O23" s="40"/>
      <c r="P23" s="39"/>
    </row>
    <row r="24" spans="1:16" s="13" customFormat="1" ht="45.75" customHeight="1" x14ac:dyDescent="0.3">
      <c r="A24" s="47" t="s">
        <v>3</v>
      </c>
      <c r="B24" s="48" t="s">
        <v>8</v>
      </c>
      <c r="C24" s="48" t="s">
        <v>8</v>
      </c>
      <c r="D24" s="48" t="s">
        <v>8</v>
      </c>
      <c r="E24" s="48" t="s">
        <v>8</v>
      </c>
      <c r="F24" s="62"/>
      <c r="G24" s="48" t="s">
        <v>3</v>
      </c>
      <c r="H24" s="48" t="s">
        <v>8</v>
      </c>
      <c r="I24" s="48" t="s">
        <v>8</v>
      </c>
      <c r="J24" s="48" t="s">
        <v>8</v>
      </c>
      <c r="K24" s="48" t="s">
        <v>8</v>
      </c>
      <c r="L24" s="38"/>
      <c r="M24" s="38"/>
      <c r="N24" s="39"/>
      <c r="O24" s="40"/>
      <c r="P24" s="39"/>
    </row>
    <row r="25" spans="1:16" s="13" customFormat="1" ht="27.9" customHeight="1" x14ac:dyDescent="0.3">
      <c r="A25" s="64">
        <v>1</v>
      </c>
      <c r="B25" s="51">
        <v>8711513</v>
      </c>
      <c r="C25" s="51">
        <v>4437526</v>
      </c>
      <c r="D25" s="51">
        <v>32277247</v>
      </c>
      <c r="E25" s="51">
        <v>44369260</v>
      </c>
      <c r="F25" s="62"/>
      <c r="G25" s="65">
        <v>1</v>
      </c>
      <c r="H25" s="132">
        <v>8713270</v>
      </c>
      <c r="I25" s="132">
        <v>4473297</v>
      </c>
      <c r="J25" s="132">
        <v>32509936</v>
      </c>
      <c r="K25" s="132">
        <v>43884434</v>
      </c>
      <c r="L25" s="38"/>
      <c r="M25" s="38"/>
      <c r="N25" s="39"/>
      <c r="O25" s="40"/>
      <c r="P25" s="39"/>
    </row>
    <row r="26" spans="1:16" s="13" customFormat="1" ht="27.9" customHeight="1" x14ac:dyDescent="0.3">
      <c r="A26" s="64">
        <v>2</v>
      </c>
      <c r="B26" s="51">
        <v>8674291</v>
      </c>
      <c r="C26" s="51">
        <v>4473096</v>
      </c>
      <c r="D26" s="51">
        <v>32439471</v>
      </c>
      <c r="E26" s="51">
        <v>44366857</v>
      </c>
      <c r="F26" s="62"/>
      <c r="G26" s="65">
        <v>2</v>
      </c>
      <c r="H26" s="132">
        <v>8686255</v>
      </c>
      <c r="I26" s="132">
        <v>4509972</v>
      </c>
      <c r="J26" s="132">
        <v>32485699</v>
      </c>
      <c r="K26" s="132">
        <v>43979519</v>
      </c>
      <c r="L26" s="38"/>
      <c r="M26" s="38"/>
      <c r="N26" s="39"/>
      <c r="O26" s="40"/>
      <c r="P26" s="39"/>
    </row>
    <row r="27" spans="1:16" s="13" customFormat="1" ht="27.9" customHeight="1" x14ac:dyDescent="0.3">
      <c r="A27" s="64">
        <v>3</v>
      </c>
      <c r="B27" s="51">
        <v>8679908</v>
      </c>
      <c r="C27" s="51">
        <v>4461331</v>
      </c>
      <c r="D27" s="51">
        <v>32393636</v>
      </c>
      <c r="E27" s="51">
        <v>44211085</v>
      </c>
      <c r="F27" s="62"/>
      <c r="G27" s="65">
        <v>3</v>
      </c>
      <c r="H27" s="51">
        <v>8719164</v>
      </c>
      <c r="I27" s="51">
        <v>4448498</v>
      </c>
      <c r="J27" s="51">
        <v>32455877</v>
      </c>
      <c r="K27" s="51">
        <v>43323151</v>
      </c>
      <c r="L27" s="38"/>
      <c r="M27" s="38"/>
      <c r="N27" s="39"/>
      <c r="O27" s="40"/>
      <c r="P27" s="39"/>
    </row>
    <row r="28" spans="1:16" s="13" customFormat="1" ht="27.9" customHeight="1" x14ac:dyDescent="0.3">
      <c r="A28" s="64">
        <v>4</v>
      </c>
      <c r="B28" s="51">
        <v>8671826</v>
      </c>
      <c r="C28" s="51">
        <v>4528571</v>
      </c>
      <c r="D28" s="51">
        <v>32357224</v>
      </c>
      <c r="E28" s="51">
        <v>43613144</v>
      </c>
      <c r="F28" s="62"/>
      <c r="G28" s="65">
        <v>4</v>
      </c>
      <c r="H28" s="51">
        <v>8729929</v>
      </c>
      <c r="I28" s="51">
        <v>4472750</v>
      </c>
      <c r="J28" s="51">
        <v>32460029</v>
      </c>
      <c r="K28" s="51">
        <v>44269558</v>
      </c>
      <c r="L28" s="38"/>
      <c r="M28" s="38"/>
      <c r="N28" s="39"/>
      <c r="O28" s="40"/>
      <c r="P28" s="39"/>
    </row>
    <row r="29" spans="1:16" s="13" customFormat="1" ht="27.9" customHeight="1" x14ac:dyDescent="0.3">
      <c r="A29" s="64">
        <v>5</v>
      </c>
      <c r="B29" s="66">
        <v>8715229</v>
      </c>
      <c r="C29" s="66">
        <v>4403707</v>
      </c>
      <c r="D29" s="66">
        <v>32429381</v>
      </c>
      <c r="E29" s="66">
        <v>43626749</v>
      </c>
      <c r="F29" s="62"/>
      <c r="G29" s="65">
        <v>5</v>
      </c>
      <c r="H29" s="51"/>
      <c r="I29" s="51"/>
      <c r="J29" s="51"/>
      <c r="K29" s="51"/>
      <c r="L29" s="38"/>
      <c r="M29" s="38"/>
      <c r="N29" s="39"/>
      <c r="O29" s="40"/>
      <c r="P29" s="39"/>
    </row>
    <row r="30" spans="1:16" s="13" customFormat="1" ht="27.9" customHeight="1" x14ac:dyDescent="0.3">
      <c r="A30" s="64">
        <v>6</v>
      </c>
      <c r="B30" s="66">
        <v>8695954</v>
      </c>
      <c r="C30" s="66">
        <v>4463992</v>
      </c>
      <c r="D30" s="66">
        <v>32523530</v>
      </c>
      <c r="E30" s="66">
        <v>43893218</v>
      </c>
      <c r="F30" s="62"/>
      <c r="G30" s="65">
        <v>6</v>
      </c>
      <c r="H30" s="51"/>
      <c r="I30" s="51"/>
      <c r="J30" s="51"/>
      <c r="K30" s="51"/>
      <c r="L30" s="38"/>
      <c r="M30" s="38"/>
      <c r="N30" s="39"/>
      <c r="O30" s="40"/>
      <c r="P30" s="39"/>
    </row>
    <row r="31" spans="1:16" s="13" customFormat="1" ht="27.9" customHeight="1" x14ac:dyDescent="0.3">
      <c r="A31" s="67" t="s">
        <v>0</v>
      </c>
      <c r="B31" s="68">
        <f>IFERROR((AVERAGE(B25:B30)), "")</f>
        <v>8691453.5</v>
      </c>
      <c r="C31" s="68">
        <f t="shared" ref="C31:E31" si="1">IFERROR((AVERAGE(C25:C30)), "")</f>
        <v>4461370.5</v>
      </c>
      <c r="D31" s="68">
        <f t="shared" si="1"/>
        <v>32403414.833333332</v>
      </c>
      <c r="E31" s="68">
        <f t="shared" si="1"/>
        <v>44013385.5</v>
      </c>
      <c r="F31" s="62"/>
      <c r="G31" s="69" t="s">
        <v>0</v>
      </c>
      <c r="H31" s="68">
        <f>IFERROR((AVERAGE(H25:H30,B25:B30)), "")</f>
        <v>8699733.9000000004</v>
      </c>
      <c r="I31" s="68">
        <f t="shared" ref="I31:K31" si="2">IFERROR((AVERAGE(I25:I30,C25:C30)), "")</f>
        <v>4467274</v>
      </c>
      <c r="J31" s="68">
        <f t="shared" si="2"/>
        <v>32433203</v>
      </c>
      <c r="K31" s="68">
        <f t="shared" si="2"/>
        <v>43953697.5</v>
      </c>
      <c r="L31" s="38"/>
      <c r="M31" s="38"/>
      <c r="N31" s="39"/>
      <c r="O31" s="40"/>
      <c r="P31" s="39"/>
    </row>
    <row r="32" spans="1:16" s="13" customFormat="1" ht="27.9" customHeight="1" x14ac:dyDescent="0.3">
      <c r="A32" s="67" t="s">
        <v>1</v>
      </c>
      <c r="B32" s="70">
        <f>IFERROR((STDEV(B25:B30)),"")</f>
        <v>18978.941875141511</v>
      </c>
      <c r="C32" s="70">
        <f t="shared" ref="C32:E32" si="3">IFERROR((STDEV(C25:C30)),"")</f>
        <v>41361.595195301641</v>
      </c>
      <c r="D32" s="70">
        <f t="shared" si="3"/>
        <v>83125.787891403874</v>
      </c>
      <c r="E32" s="70">
        <f t="shared" si="3"/>
        <v>350655.13624457293</v>
      </c>
      <c r="F32" s="62"/>
      <c r="G32" s="69" t="s">
        <v>1</v>
      </c>
      <c r="H32" s="70">
        <f>IFERROR((STDEV(B25:B30,H25:H30)), "")</f>
        <v>20727.252368962621</v>
      </c>
      <c r="I32" s="70">
        <f t="shared" ref="I32:K32" si="4">IFERROR((STDEV(C25:C30,I25:I30)), "")</f>
        <v>34968.138106949111</v>
      </c>
      <c r="J32" s="70">
        <f t="shared" si="4"/>
        <v>74349.789030560729</v>
      </c>
      <c r="K32" s="70">
        <f t="shared" si="4"/>
        <v>355745.22614966705</v>
      </c>
      <c r="L32" s="38"/>
      <c r="M32" s="38"/>
      <c r="N32" s="39"/>
      <c r="O32" s="40"/>
      <c r="P32" s="39"/>
    </row>
    <row r="33" spans="1:16" s="13" customFormat="1" ht="27.9" customHeight="1" x14ac:dyDescent="0.3">
      <c r="A33" s="67" t="s">
        <v>2</v>
      </c>
      <c r="B33" s="71">
        <f>IFERROR((B32*100/B31),"")</f>
        <v>0.21836326772203879</v>
      </c>
      <c r="C33" s="71">
        <f t="shared" ref="C33:E33" si="5">IFERROR((C32*100/C31),"")</f>
        <v>0.92710513944765716</v>
      </c>
      <c r="D33" s="71">
        <f t="shared" si="5"/>
        <v>0.25653403605441155</v>
      </c>
      <c r="E33" s="71">
        <f t="shared" si="5"/>
        <v>0.79670112230874157</v>
      </c>
      <c r="F33" s="62"/>
      <c r="G33" s="69" t="s">
        <v>2</v>
      </c>
      <c r="H33" s="71">
        <f>IFERROR((H32*100/H31), "")</f>
        <v>0.23825156731474992</v>
      </c>
      <c r="I33" s="71">
        <f t="shared" ref="I33:K33" si="6">IFERROR((I32*100/I31), "")</f>
        <v>0.78276233127739892</v>
      </c>
      <c r="J33" s="71">
        <f t="shared" si="6"/>
        <v>0.22923973629912756</v>
      </c>
      <c r="K33" s="71">
        <f t="shared" si="6"/>
        <v>0.8093635948367417</v>
      </c>
      <c r="L33" s="38"/>
      <c r="M33" s="38"/>
      <c r="N33" s="39"/>
      <c r="O33" s="40"/>
      <c r="P33" s="39"/>
    </row>
    <row r="34" spans="1:16" ht="17.100000000000001" customHeight="1" x14ac:dyDescent="0.3">
      <c r="A34" s="41"/>
      <c r="B34" s="8"/>
      <c r="C34" s="10"/>
      <c r="D34" s="8"/>
      <c r="E34" s="8"/>
      <c r="F34" s="9"/>
      <c r="G34" s="10"/>
      <c r="H34" s="10"/>
      <c r="I34" s="10"/>
      <c r="J34" s="10"/>
      <c r="K34" s="31"/>
      <c r="L34" s="31"/>
      <c r="M34" s="31"/>
      <c r="N34" s="32"/>
      <c r="O34" s="33"/>
      <c r="P34" s="32"/>
    </row>
    <row r="35" spans="1:16" ht="17.100000000000001" customHeight="1" thickBot="1" x14ac:dyDescent="0.35">
      <c r="A35" s="30"/>
      <c r="B35" s="31"/>
      <c r="C35" s="31"/>
      <c r="D35" s="31"/>
      <c r="E35" s="31"/>
      <c r="F35" s="9"/>
      <c r="G35" s="10"/>
      <c r="H35" s="10"/>
      <c r="I35" s="10"/>
      <c r="J35" s="10"/>
      <c r="K35" s="31"/>
      <c r="L35" s="31"/>
      <c r="M35" s="31"/>
      <c r="N35" s="32"/>
      <c r="O35" s="33"/>
      <c r="P35" s="32"/>
    </row>
    <row r="36" spans="1:16" ht="39" customHeight="1" thickBot="1" x14ac:dyDescent="0.35">
      <c r="A36" s="200" t="s">
        <v>27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2"/>
      <c r="P36" s="45"/>
    </row>
    <row r="37" spans="1:16" ht="17.100000000000001" customHeight="1" thickBot="1" x14ac:dyDescent="0.35">
      <c r="A37" s="42"/>
      <c r="B37" s="12"/>
      <c r="C37" s="12"/>
      <c r="D37" s="12"/>
      <c r="E37" s="11"/>
      <c r="F37" s="18"/>
      <c r="G37" s="12"/>
      <c r="H37" s="31"/>
      <c r="I37" s="12"/>
      <c r="J37" s="12"/>
      <c r="K37" s="31"/>
      <c r="L37" s="31"/>
      <c r="M37" s="31"/>
      <c r="N37" s="32"/>
      <c r="O37" s="33"/>
      <c r="P37" s="32"/>
    </row>
    <row r="38" spans="1:16" ht="57" customHeight="1" thickBot="1" x14ac:dyDescent="0.35">
      <c r="A38" s="72" t="s">
        <v>16</v>
      </c>
      <c r="B38" s="73" t="s">
        <v>37</v>
      </c>
      <c r="C38" s="73" t="s">
        <v>15</v>
      </c>
      <c r="D38" s="73" t="s">
        <v>10</v>
      </c>
      <c r="E38" s="73" t="s">
        <v>11</v>
      </c>
      <c r="F38" s="73" t="s">
        <v>41</v>
      </c>
      <c r="G38" s="73" t="s">
        <v>7</v>
      </c>
      <c r="H38" s="73" t="s">
        <v>43</v>
      </c>
      <c r="I38" s="73" t="s">
        <v>6</v>
      </c>
      <c r="J38" s="73" t="s">
        <v>4</v>
      </c>
      <c r="K38" s="73" t="s">
        <v>5</v>
      </c>
      <c r="L38" s="73" t="s">
        <v>4</v>
      </c>
      <c r="M38" s="73" t="s">
        <v>8</v>
      </c>
      <c r="N38" s="74" t="s">
        <v>9</v>
      </c>
      <c r="O38" s="74" t="s">
        <v>47</v>
      </c>
      <c r="P38" s="46"/>
    </row>
    <row r="39" spans="1:16" ht="26.1" customHeight="1" x14ac:dyDescent="0.3">
      <c r="A39" s="144" t="s">
        <v>62</v>
      </c>
      <c r="B39" s="145" t="s">
        <v>61</v>
      </c>
      <c r="C39" s="145" t="s">
        <v>42</v>
      </c>
      <c r="D39" s="146" t="s">
        <v>64</v>
      </c>
      <c r="E39" s="143" t="s">
        <v>65</v>
      </c>
      <c r="F39" s="75" t="str">
        <f>A18</f>
        <v>Tricaprylin</v>
      </c>
      <c r="G39" s="76">
        <v>2</v>
      </c>
      <c r="H39" s="153">
        <v>1.0049999999999999</v>
      </c>
      <c r="I39" s="153">
        <v>1.5007999999999999</v>
      </c>
      <c r="J39" s="156">
        <v>25</v>
      </c>
      <c r="K39" s="156">
        <v>1</v>
      </c>
      <c r="L39" s="156">
        <v>1</v>
      </c>
      <c r="M39" s="77">
        <v>8729574</v>
      </c>
      <c r="N39" s="78">
        <f>IFERROR((M39/$B$31*B$18/$C$18*$D$18/$E$18*$F$18/$G$18*J39/I39*L39/K39*$H$18/G39*$I$18/$J$18*H39), "")</f>
        <v>99.9790012647194</v>
      </c>
      <c r="O39" s="163"/>
      <c r="P39" s="20"/>
    </row>
    <row r="40" spans="1:16" ht="26.1" customHeight="1" x14ac:dyDescent="0.3">
      <c r="A40" s="135"/>
      <c r="B40" s="137"/>
      <c r="C40" s="137"/>
      <c r="D40" s="139"/>
      <c r="E40" s="141"/>
      <c r="F40" s="79" t="str">
        <f>C23</f>
        <v>DPPG</v>
      </c>
      <c r="G40" s="53">
        <v>0.9</v>
      </c>
      <c r="H40" s="154"/>
      <c r="I40" s="154"/>
      <c r="J40" s="157"/>
      <c r="K40" s="157"/>
      <c r="L40" s="157"/>
      <c r="M40" s="80">
        <v>3826195</v>
      </c>
      <c r="N40" s="81">
        <f>IFERROR((M40/$C$31*$B$19/$C$19*$D$19/$E$19*$F$19/$G$19*J39/I39*L39/K39*$H$19/G40*$I$19/$J$19*H39), "")</f>
        <v>86.200387942868943</v>
      </c>
      <c r="O40" s="162"/>
      <c r="P40" s="20"/>
    </row>
    <row r="41" spans="1:16" ht="26.1" customHeight="1" x14ac:dyDescent="0.3">
      <c r="A41" s="135"/>
      <c r="B41" s="137"/>
      <c r="C41" s="137"/>
      <c r="D41" s="139"/>
      <c r="E41" s="141"/>
      <c r="F41" s="79" t="str">
        <f>A20</f>
        <v>Cholesterol</v>
      </c>
      <c r="G41" s="53">
        <v>4.7</v>
      </c>
      <c r="H41" s="154"/>
      <c r="I41" s="154"/>
      <c r="J41" s="157"/>
      <c r="K41" s="157"/>
      <c r="L41" s="157"/>
      <c r="M41" s="80">
        <v>32474189</v>
      </c>
      <c r="N41" s="81">
        <f>IFERROR((M41/$D$31*$B$20/$C$20*$D$20/$E$20*$F$20/$G$20*J39/I39*L39/K39*$H$20/G41*$I$20/$J$20*H39), "")</f>
        <v>101.77242947915475</v>
      </c>
      <c r="O41" s="162"/>
      <c r="P41" s="20"/>
    </row>
    <row r="42" spans="1:16" ht="26.1" customHeight="1" thickBot="1" x14ac:dyDescent="0.35">
      <c r="A42" s="135"/>
      <c r="B42" s="137"/>
      <c r="C42" s="137"/>
      <c r="D42" s="139"/>
      <c r="E42" s="141"/>
      <c r="F42" s="82" t="str">
        <f>A21</f>
        <v>DEPC</v>
      </c>
      <c r="G42" s="83">
        <v>8.1999999999999993</v>
      </c>
      <c r="H42" s="154"/>
      <c r="I42" s="154"/>
      <c r="J42" s="157"/>
      <c r="K42" s="157"/>
      <c r="L42" s="157"/>
      <c r="M42" s="84">
        <v>44235393</v>
      </c>
      <c r="N42" s="85">
        <f>IFERROR((M42/$E$31*$B$21/$C$21*$D$21/$E$21*$F$21/$G$21*J39/I39*L39/K39*$H$21/G42*$I$21/$J$21*H39), "")</f>
        <v>100.38972196375907</v>
      </c>
      <c r="O42" s="162"/>
      <c r="P42" s="20"/>
    </row>
    <row r="43" spans="1:16" ht="26.1" customHeight="1" x14ac:dyDescent="0.3">
      <c r="A43" s="135"/>
      <c r="B43" s="137"/>
      <c r="C43" s="137"/>
      <c r="D43" s="139"/>
      <c r="E43" s="141"/>
      <c r="F43" s="75" t="s">
        <v>32</v>
      </c>
      <c r="G43" s="97">
        <f>G39</f>
        <v>2</v>
      </c>
      <c r="H43" s="150">
        <f>H39</f>
        <v>1.0049999999999999</v>
      </c>
      <c r="I43" s="153"/>
      <c r="J43" s="147">
        <f>J39</f>
        <v>25</v>
      </c>
      <c r="K43" s="147">
        <f>K39</f>
        <v>1</v>
      </c>
      <c r="L43" s="147">
        <f>L39</f>
        <v>1</v>
      </c>
      <c r="M43" s="77" t="s">
        <v>48</v>
      </c>
      <c r="N43" s="78" t="str">
        <f>IFERROR((M43/$B$31*B$18/$C$18*$D$18/$E$18*$F$18/$G$18*J43/I43*L43/K43*$H$18/G43*$I$18/$J$18*H43), "")</f>
        <v/>
      </c>
      <c r="O43" s="86">
        <f>IFERROR((AVERAGE(N39,N43)), "")</f>
        <v>99.9790012647194</v>
      </c>
      <c r="P43" s="20"/>
    </row>
    <row r="44" spans="1:16" ht="26.1" customHeight="1" x14ac:dyDescent="0.3">
      <c r="A44" s="135"/>
      <c r="B44" s="137"/>
      <c r="C44" s="137"/>
      <c r="D44" s="139"/>
      <c r="E44" s="141"/>
      <c r="F44" s="79" t="s">
        <v>33</v>
      </c>
      <c r="G44" s="98">
        <f t="shared" ref="G44:G46" si="7">G40</f>
        <v>0.9</v>
      </c>
      <c r="H44" s="151"/>
      <c r="I44" s="154"/>
      <c r="J44" s="148"/>
      <c r="K44" s="148"/>
      <c r="L44" s="148"/>
      <c r="M44" s="80" t="s">
        <v>48</v>
      </c>
      <c r="N44" s="81" t="str">
        <f>IFERROR((M44/$C$31*$B$19/$C$19*$D$19/$E$19*$F$19/$G$19*J43/I43*L43/K43*$H$19/G44*$I$19/$J$19*H43), "")</f>
        <v/>
      </c>
      <c r="O44" s="87">
        <f>IFERROR((AVERAGE(N40,N44)), "")</f>
        <v>86.200387942868943</v>
      </c>
      <c r="P44" s="20"/>
    </row>
    <row r="45" spans="1:16" ht="26.1" customHeight="1" x14ac:dyDescent="0.3">
      <c r="A45" s="135"/>
      <c r="B45" s="137"/>
      <c r="C45" s="137"/>
      <c r="D45" s="139"/>
      <c r="E45" s="141"/>
      <c r="F45" s="79" t="s">
        <v>30</v>
      </c>
      <c r="G45" s="98">
        <f t="shared" si="7"/>
        <v>4.7</v>
      </c>
      <c r="H45" s="151"/>
      <c r="I45" s="154"/>
      <c r="J45" s="148"/>
      <c r="K45" s="148"/>
      <c r="L45" s="148"/>
      <c r="M45" s="80" t="s">
        <v>48</v>
      </c>
      <c r="N45" s="81" t="str">
        <f>IFERROR((M45/$D$31*$B$20/$C$20*$D$20/$E$20*$F$20/$G$20*J43/I43*L43/K43*$H$20/G45*$I$20/$J$20*H43), "")</f>
        <v/>
      </c>
      <c r="O45" s="87">
        <f>IFERROR((AVERAGE(N41,N45)), "")</f>
        <v>101.77242947915475</v>
      </c>
      <c r="P45" s="20"/>
    </row>
    <row r="46" spans="1:16" ht="26.1" customHeight="1" thickBot="1" x14ac:dyDescent="0.35">
      <c r="A46" s="136"/>
      <c r="B46" s="138"/>
      <c r="C46" s="138"/>
      <c r="D46" s="140"/>
      <c r="E46" s="142"/>
      <c r="F46" s="88" t="s">
        <v>31</v>
      </c>
      <c r="G46" s="99">
        <f t="shared" si="7"/>
        <v>8.1999999999999993</v>
      </c>
      <c r="H46" s="152"/>
      <c r="I46" s="155"/>
      <c r="J46" s="149"/>
      <c r="K46" s="149"/>
      <c r="L46" s="149"/>
      <c r="M46" s="89" t="s">
        <v>48</v>
      </c>
      <c r="N46" s="90" t="str">
        <f>IFERROR((M46/$E$31*$B$21/$C$21*$D$21/$E$21*$F$21/$G$21*J43/I43*L43/K43*$H$21/G46*$I$21/$J$21*H43), "")</f>
        <v/>
      </c>
      <c r="O46" s="91">
        <f>IFERROR((AVERAGE(N42,N46)), "")</f>
        <v>100.38972196375907</v>
      </c>
      <c r="P46" s="20"/>
    </row>
    <row r="47" spans="1:16" ht="7.2" customHeight="1" thickBot="1" x14ac:dyDescent="0.35">
      <c r="A47" s="216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8"/>
      <c r="P47" s="100"/>
    </row>
    <row r="48" spans="1:16" ht="26.1" customHeight="1" x14ac:dyDescent="0.3">
      <c r="A48" s="144" t="s">
        <v>63</v>
      </c>
      <c r="B48" s="145" t="s">
        <v>61</v>
      </c>
      <c r="C48" s="145" t="s">
        <v>42</v>
      </c>
      <c r="D48" s="146" t="s">
        <v>67</v>
      </c>
      <c r="E48" s="143" t="s">
        <v>66</v>
      </c>
      <c r="F48" s="75" t="s">
        <v>32</v>
      </c>
      <c r="G48" s="76">
        <v>2</v>
      </c>
      <c r="H48" s="153">
        <v>1.0049999999999999</v>
      </c>
      <c r="I48" s="153">
        <v>1.5051000000000001</v>
      </c>
      <c r="J48" s="156">
        <v>25</v>
      </c>
      <c r="K48" s="156">
        <v>1</v>
      </c>
      <c r="L48" s="156">
        <v>1</v>
      </c>
      <c r="M48" s="77">
        <v>8576367</v>
      </c>
      <c r="N48" s="78">
        <f>IFERROR((M48/$B$31*B$18/$C$18*$D$18/$E$18*$F$18/$G$18*J48/I48*L48/K48*$H$18/G48*$I$18/$J$18*H48), "")</f>
        <v>97.943713392078806</v>
      </c>
      <c r="O48" s="163"/>
      <c r="P48" s="20"/>
    </row>
    <row r="49" spans="1:16" ht="26.1" customHeight="1" x14ac:dyDescent="0.3">
      <c r="A49" s="135"/>
      <c r="B49" s="137"/>
      <c r="C49" s="137"/>
      <c r="D49" s="139"/>
      <c r="E49" s="141"/>
      <c r="F49" s="79" t="s">
        <v>33</v>
      </c>
      <c r="G49" s="53">
        <v>0.9</v>
      </c>
      <c r="H49" s="154"/>
      <c r="I49" s="154"/>
      <c r="J49" s="157"/>
      <c r="K49" s="157"/>
      <c r="L49" s="157"/>
      <c r="M49" s="80">
        <v>4183290</v>
      </c>
      <c r="N49" s="81">
        <f>IFERROR((M49/$C$31*$B$19/$C$19*$D$19/$E$19*$F$19/$G$19*J48/I48*L48/K48*$H$19/G49*$I$19/$J$19*H48), "")</f>
        <v>93.976130366649542</v>
      </c>
      <c r="O49" s="162"/>
      <c r="P49" s="20"/>
    </row>
    <row r="50" spans="1:16" ht="26.1" customHeight="1" x14ac:dyDescent="0.3">
      <c r="A50" s="135"/>
      <c r="B50" s="137"/>
      <c r="C50" s="137"/>
      <c r="D50" s="139"/>
      <c r="E50" s="141"/>
      <c r="F50" s="79" t="s">
        <v>30</v>
      </c>
      <c r="G50" s="53">
        <v>4.7</v>
      </c>
      <c r="H50" s="154"/>
      <c r="I50" s="154"/>
      <c r="J50" s="157"/>
      <c r="K50" s="157"/>
      <c r="L50" s="157"/>
      <c r="M50" s="80">
        <v>32445874</v>
      </c>
      <c r="N50" s="81">
        <f>IFERROR((M50/$D$31*$B$20/$C$20*$D$20/$E$20*$F$20/$G$20*J48/I48*L48/K48*$H$20/G50*$I$20/$J$20*H48), "")</f>
        <v>101.39318620215062</v>
      </c>
      <c r="O50" s="162"/>
      <c r="P50" s="20"/>
    </row>
    <row r="51" spans="1:16" ht="26.1" customHeight="1" thickBot="1" x14ac:dyDescent="0.35">
      <c r="A51" s="135"/>
      <c r="B51" s="137"/>
      <c r="C51" s="137"/>
      <c r="D51" s="139"/>
      <c r="E51" s="141"/>
      <c r="F51" s="88" t="s">
        <v>31</v>
      </c>
      <c r="G51" s="92">
        <v>8.1999999999999993</v>
      </c>
      <c r="H51" s="155"/>
      <c r="I51" s="155"/>
      <c r="J51" s="158"/>
      <c r="K51" s="158"/>
      <c r="L51" s="158"/>
      <c r="M51" s="89">
        <v>44011931</v>
      </c>
      <c r="N51" s="90">
        <f>IFERROR((M51/$E$31*$B$21/$C$21*$D$21/$E$21*$F$21/$G$21*J48/I48*L48/K48*$H$21/G51*$I$21/$J$21*H48), "")</f>
        <v>99.597227735359454</v>
      </c>
      <c r="O51" s="164"/>
      <c r="P51" s="20"/>
    </row>
    <row r="52" spans="1:16" ht="26.1" customHeight="1" x14ac:dyDescent="0.3">
      <c r="A52" s="135"/>
      <c r="B52" s="137"/>
      <c r="C52" s="137"/>
      <c r="D52" s="139"/>
      <c r="E52" s="141"/>
      <c r="F52" s="75" t="s">
        <v>32</v>
      </c>
      <c r="G52" s="97">
        <f>G48</f>
        <v>2</v>
      </c>
      <c r="H52" s="150">
        <f>H48</f>
        <v>1.0049999999999999</v>
      </c>
      <c r="I52" s="153"/>
      <c r="J52" s="147">
        <f>J48</f>
        <v>25</v>
      </c>
      <c r="K52" s="147">
        <f>K48</f>
        <v>1</v>
      </c>
      <c r="L52" s="147">
        <f>L48</f>
        <v>1</v>
      </c>
      <c r="M52" s="77" t="s">
        <v>48</v>
      </c>
      <c r="N52" s="78" t="str">
        <f>IFERROR((M52/$B$31*B$18/$C$18*$D$18/$E$18*$F$18/$G$18*J52/I52*L52/K52*$H$18/G52*$I$18/$J$18*H52), "")</f>
        <v/>
      </c>
      <c r="O52" s="86">
        <f>IFERROR((AVERAGE(N48,N52)), "")</f>
        <v>97.943713392078806</v>
      </c>
      <c r="P52" s="20"/>
    </row>
    <row r="53" spans="1:16" ht="26.1" customHeight="1" x14ac:dyDescent="0.3">
      <c r="A53" s="135"/>
      <c r="B53" s="137"/>
      <c r="C53" s="137"/>
      <c r="D53" s="139"/>
      <c r="E53" s="141"/>
      <c r="F53" s="79" t="s">
        <v>33</v>
      </c>
      <c r="G53" s="98">
        <f t="shared" ref="G53:G55" si="8">G49</f>
        <v>0.9</v>
      </c>
      <c r="H53" s="151"/>
      <c r="I53" s="154"/>
      <c r="J53" s="148"/>
      <c r="K53" s="148"/>
      <c r="L53" s="148"/>
      <c r="M53" s="80" t="s">
        <v>48</v>
      </c>
      <c r="N53" s="81" t="str">
        <f>IFERROR((M53/$C$31*$B$19/$C$19*$D$19/$E$19*$F$19/$G$19*J52/I52*L52/K52*$H$19/G53*$I$19/$J$19*H52), "")</f>
        <v/>
      </c>
      <c r="O53" s="87">
        <f t="shared" ref="O53:O55" si="9">IFERROR((AVERAGE(N49,N53)), "")</f>
        <v>93.976130366649542</v>
      </c>
      <c r="P53" s="20"/>
    </row>
    <row r="54" spans="1:16" ht="26.1" customHeight="1" x14ac:dyDescent="0.3">
      <c r="A54" s="135"/>
      <c r="B54" s="137"/>
      <c r="C54" s="137"/>
      <c r="D54" s="139"/>
      <c r="E54" s="141"/>
      <c r="F54" s="79" t="s">
        <v>30</v>
      </c>
      <c r="G54" s="98">
        <f t="shared" si="8"/>
        <v>4.7</v>
      </c>
      <c r="H54" s="151"/>
      <c r="I54" s="154"/>
      <c r="J54" s="148"/>
      <c r="K54" s="148"/>
      <c r="L54" s="148"/>
      <c r="M54" s="80" t="s">
        <v>48</v>
      </c>
      <c r="N54" s="81" t="str">
        <f>IFERROR((M54/$D$31*$B$20/$C$20*$D$20/$E$20*$F$20/$G$20*J52/I52*L52/K52*$H$20/G54*$I$20/$J$20*H52), "")</f>
        <v/>
      </c>
      <c r="O54" s="87">
        <f t="shared" si="9"/>
        <v>101.39318620215062</v>
      </c>
      <c r="P54" s="20"/>
    </row>
    <row r="55" spans="1:16" ht="26.1" customHeight="1" thickBot="1" x14ac:dyDescent="0.35">
      <c r="A55" s="136"/>
      <c r="B55" s="138"/>
      <c r="C55" s="138"/>
      <c r="D55" s="140"/>
      <c r="E55" s="142"/>
      <c r="F55" s="88" t="s">
        <v>31</v>
      </c>
      <c r="G55" s="99">
        <f t="shared" si="8"/>
        <v>8.1999999999999993</v>
      </c>
      <c r="H55" s="152"/>
      <c r="I55" s="155"/>
      <c r="J55" s="149"/>
      <c r="K55" s="149"/>
      <c r="L55" s="149"/>
      <c r="M55" s="89" t="s">
        <v>48</v>
      </c>
      <c r="N55" s="90" t="str">
        <f>IFERROR((M55/$E$31*$B$21/$C$21*$D$21/$E$21*$F$21/$G$21*J52/I52*L52/K52*$H$21/G55*$I$21/$J$21*H52), "")</f>
        <v/>
      </c>
      <c r="O55" s="91">
        <f t="shared" si="9"/>
        <v>99.597227735359454</v>
      </c>
      <c r="P55" s="20"/>
    </row>
    <row r="56" spans="1:16" ht="8.4" customHeight="1" thickBot="1" x14ac:dyDescent="0.35">
      <c r="A56" s="159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1"/>
      <c r="P56" s="100"/>
    </row>
    <row r="57" spans="1:16" ht="26.1" customHeight="1" x14ac:dyDescent="0.3">
      <c r="A57" s="144" t="s">
        <v>68</v>
      </c>
      <c r="B57" s="145" t="s">
        <v>61</v>
      </c>
      <c r="C57" s="145" t="s">
        <v>42</v>
      </c>
      <c r="D57" s="146" t="s">
        <v>69</v>
      </c>
      <c r="E57" s="143" t="s">
        <v>70</v>
      </c>
      <c r="F57" s="75" t="s">
        <v>32</v>
      </c>
      <c r="G57" s="76">
        <v>2</v>
      </c>
      <c r="H57" s="153">
        <v>1.0049999999999999</v>
      </c>
      <c r="I57" s="153">
        <v>1.5104</v>
      </c>
      <c r="J57" s="156">
        <v>25</v>
      </c>
      <c r="K57" s="156">
        <v>1</v>
      </c>
      <c r="L57" s="156">
        <v>1</v>
      </c>
      <c r="M57" s="77">
        <v>8806534</v>
      </c>
      <c r="N57" s="78">
        <f>IFERROR((M57/$B$31*B$18/$C$18*$D$18/$E$18*$F$18/$G$18*J57/I57*L57/K57*$H$18/G57*$I$18/$J$18*H57), "")</f>
        <v>100.21935503339714</v>
      </c>
      <c r="O57" s="163"/>
      <c r="P57" s="20"/>
    </row>
    <row r="58" spans="1:16" ht="26.1" customHeight="1" x14ac:dyDescent="0.3">
      <c r="A58" s="135"/>
      <c r="B58" s="137"/>
      <c r="C58" s="137"/>
      <c r="D58" s="139"/>
      <c r="E58" s="141"/>
      <c r="F58" s="79" t="s">
        <v>33</v>
      </c>
      <c r="G58" s="53">
        <v>0.9</v>
      </c>
      <c r="H58" s="154"/>
      <c r="I58" s="154"/>
      <c r="J58" s="157"/>
      <c r="K58" s="157"/>
      <c r="L58" s="157"/>
      <c r="M58" s="80">
        <v>3755690</v>
      </c>
      <c r="N58" s="81">
        <f>IFERROR((M58/$C$31*$B$19/$C$19*$D$19/$E$19*$F$19/$G$19*J57/I57*L57/K57*$H$19/G58*$I$19/$J$19*H57), "")</f>
        <v>84.074192037505327</v>
      </c>
      <c r="O58" s="162"/>
      <c r="P58" s="20"/>
    </row>
    <row r="59" spans="1:16" ht="26.1" customHeight="1" x14ac:dyDescent="0.3">
      <c r="A59" s="135"/>
      <c r="B59" s="137"/>
      <c r="C59" s="137"/>
      <c r="D59" s="139"/>
      <c r="E59" s="141"/>
      <c r="F59" s="79" t="s">
        <v>30</v>
      </c>
      <c r="G59" s="53">
        <v>4.7</v>
      </c>
      <c r="H59" s="154"/>
      <c r="I59" s="154"/>
      <c r="J59" s="157"/>
      <c r="K59" s="157"/>
      <c r="L59" s="157"/>
      <c r="M59" s="80">
        <v>32693267</v>
      </c>
      <c r="N59" s="81">
        <f>IFERROR((M59/$D$31*$B$20/$C$20*$D$20/$E$20*$F$20/$G$20*J57/I57*L57/K57*$H$20/G59*$I$20/$J$20*H57), "")</f>
        <v>101.80778609296407</v>
      </c>
      <c r="O59" s="162"/>
      <c r="P59" s="20"/>
    </row>
    <row r="60" spans="1:16" ht="26.1" customHeight="1" thickBot="1" x14ac:dyDescent="0.35">
      <c r="A60" s="135"/>
      <c r="B60" s="137"/>
      <c r="C60" s="137"/>
      <c r="D60" s="139"/>
      <c r="E60" s="141"/>
      <c r="F60" s="88" t="s">
        <v>31</v>
      </c>
      <c r="G60" s="92">
        <v>8.1999999999999993</v>
      </c>
      <c r="H60" s="155"/>
      <c r="I60" s="155"/>
      <c r="J60" s="158"/>
      <c r="K60" s="158"/>
      <c r="L60" s="158"/>
      <c r="M60" s="89">
        <v>43675013</v>
      </c>
      <c r="N60" s="90">
        <f>IFERROR((M60/$E$31*$B$21/$C$21*$D$21/$E$21*$F$21/$G$21*J57/I57*L57/K57*$H$21/G60*$I$21/$J$21*H57), "")</f>
        <v>98.487984149699003</v>
      </c>
      <c r="O60" s="164"/>
      <c r="P60" s="20"/>
    </row>
    <row r="61" spans="1:16" ht="26.1" customHeight="1" x14ac:dyDescent="0.3">
      <c r="A61" s="135"/>
      <c r="B61" s="137"/>
      <c r="C61" s="137"/>
      <c r="D61" s="139"/>
      <c r="E61" s="141"/>
      <c r="F61" s="75" t="s">
        <v>32</v>
      </c>
      <c r="G61" s="97">
        <f>G57</f>
        <v>2</v>
      </c>
      <c r="H61" s="150">
        <f>H57</f>
        <v>1.0049999999999999</v>
      </c>
      <c r="I61" s="153"/>
      <c r="J61" s="147">
        <f>J57</f>
        <v>25</v>
      </c>
      <c r="K61" s="147">
        <f>K57</f>
        <v>1</v>
      </c>
      <c r="L61" s="147">
        <f>L57</f>
        <v>1</v>
      </c>
      <c r="M61" s="77" t="s">
        <v>48</v>
      </c>
      <c r="N61" s="78" t="str">
        <f>IFERROR((M61/$B$31*B$18/$C$18*$D$18/$E$18*$F$18/$G$18*J61/I61*L61/K61*$H$18/G61*$I$18/$J$18*H61), "")</f>
        <v/>
      </c>
      <c r="O61" s="78">
        <f>IFERROR((AVERAGE(N57,N61)), "")</f>
        <v>100.21935503339714</v>
      </c>
      <c r="P61" s="20"/>
    </row>
    <row r="62" spans="1:16" ht="26.1" customHeight="1" x14ac:dyDescent="0.3">
      <c r="A62" s="135"/>
      <c r="B62" s="137"/>
      <c r="C62" s="137"/>
      <c r="D62" s="139"/>
      <c r="E62" s="141"/>
      <c r="F62" s="79" t="s">
        <v>33</v>
      </c>
      <c r="G62" s="98">
        <f t="shared" ref="G62:G64" si="10">G58</f>
        <v>0.9</v>
      </c>
      <c r="H62" s="151"/>
      <c r="I62" s="154"/>
      <c r="J62" s="148"/>
      <c r="K62" s="148"/>
      <c r="L62" s="148"/>
      <c r="M62" s="80" t="s">
        <v>48</v>
      </c>
      <c r="N62" s="81" t="str">
        <f>IFERROR((M62/$C$31*$B$19/$C$19*$D$19/$E$19*$F$19/$G$19*J61/I61*L61/K61*$H$19/G62*$I$19/$J$19*H61), "")</f>
        <v/>
      </c>
      <c r="O62" s="81">
        <f t="shared" ref="O62:O64" si="11">IFERROR((AVERAGE(N58,N62)), "")</f>
        <v>84.074192037505327</v>
      </c>
      <c r="P62" s="20"/>
    </row>
    <row r="63" spans="1:16" ht="26.1" customHeight="1" x14ac:dyDescent="0.3">
      <c r="A63" s="135"/>
      <c r="B63" s="137"/>
      <c r="C63" s="137"/>
      <c r="D63" s="139"/>
      <c r="E63" s="141"/>
      <c r="F63" s="79" t="s">
        <v>30</v>
      </c>
      <c r="G63" s="98">
        <f t="shared" si="10"/>
        <v>4.7</v>
      </c>
      <c r="H63" s="151"/>
      <c r="I63" s="154"/>
      <c r="J63" s="148"/>
      <c r="K63" s="148"/>
      <c r="L63" s="148"/>
      <c r="M63" s="80" t="s">
        <v>48</v>
      </c>
      <c r="N63" s="81" t="str">
        <f>IFERROR((M63/$D$31*$B$20/$C$20*$D$20/$E$20*$F$20/$G$20*J61/I61*L61/K61*$H$20/G63*$I$20/$J$20*H61), "")</f>
        <v/>
      </c>
      <c r="O63" s="81">
        <f t="shared" si="11"/>
        <v>101.80778609296407</v>
      </c>
      <c r="P63" s="20"/>
    </row>
    <row r="64" spans="1:16" ht="26.1" customHeight="1" thickBot="1" x14ac:dyDescent="0.35">
      <c r="A64" s="136"/>
      <c r="B64" s="138"/>
      <c r="C64" s="138"/>
      <c r="D64" s="140"/>
      <c r="E64" s="142"/>
      <c r="F64" s="88" t="s">
        <v>31</v>
      </c>
      <c r="G64" s="99">
        <f t="shared" si="10"/>
        <v>8.1999999999999993</v>
      </c>
      <c r="H64" s="152"/>
      <c r="I64" s="155"/>
      <c r="J64" s="149"/>
      <c r="K64" s="149"/>
      <c r="L64" s="149"/>
      <c r="M64" s="89" t="s">
        <v>48</v>
      </c>
      <c r="N64" s="90" t="str">
        <f>IFERROR((M64/$E$31*$B$21/$C$21*$D$21/$E$21*$F$21/$G$21*J61/I61*L61/K61*$H$21/G64*$I$21/$J$21*H61), "")</f>
        <v/>
      </c>
      <c r="O64" s="90">
        <f t="shared" si="11"/>
        <v>98.487984149699003</v>
      </c>
      <c r="P64" s="20"/>
    </row>
    <row r="65" spans="1:16" ht="7.2" customHeight="1" thickBot="1" x14ac:dyDescent="0.35">
      <c r="A65" s="159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1"/>
      <c r="P65" s="100"/>
    </row>
    <row r="66" spans="1:16" ht="26.1" customHeight="1" x14ac:dyDescent="0.3">
      <c r="A66" s="144"/>
      <c r="B66" s="145"/>
      <c r="C66" s="145"/>
      <c r="D66" s="146"/>
      <c r="E66" s="143"/>
      <c r="F66" s="75" t="s">
        <v>32</v>
      </c>
      <c r="G66" s="76"/>
      <c r="H66" s="153"/>
      <c r="I66" s="153"/>
      <c r="J66" s="156"/>
      <c r="K66" s="156"/>
      <c r="L66" s="156"/>
      <c r="M66" s="77"/>
      <c r="N66" s="78" t="str">
        <f>IFERROR((M66/$B$31*B$18/$C$18*$D$18/$E$18*$F$18/$G$18*J66/I66*L66/K66*$H$18/G66*$I$18/$J$18*H66), "")</f>
        <v/>
      </c>
      <c r="O66" s="163"/>
      <c r="P66" s="20"/>
    </row>
    <row r="67" spans="1:16" ht="26.1" customHeight="1" x14ac:dyDescent="0.3">
      <c r="A67" s="135"/>
      <c r="B67" s="137"/>
      <c r="C67" s="137"/>
      <c r="D67" s="139"/>
      <c r="E67" s="141"/>
      <c r="F67" s="79" t="s">
        <v>33</v>
      </c>
      <c r="G67" s="53"/>
      <c r="H67" s="154"/>
      <c r="I67" s="154"/>
      <c r="J67" s="157"/>
      <c r="K67" s="157"/>
      <c r="L67" s="157"/>
      <c r="M67" s="80"/>
      <c r="N67" s="81" t="str">
        <f>IFERROR((M67/$C$31*$B$19/$C$19*$D$19/$E$19*$F$19/$G$19*J66/I66*L66/K66*$H$19/G67*$I$19/$J$19*H66), "")</f>
        <v/>
      </c>
      <c r="O67" s="162"/>
      <c r="P67" s="20"/>
    </row>
    <row r="68" spans="1:16" ht="26.1" customHeight="1" x14ac:dyDescent="0.3">
      <c r="A68" s="135"/>
      <c r="B68" s="137"/>
      <c r="C68" s="137"/>
      <c r="D68" s="139"/>
      <c r="E68" s="141"/>
      <c r="F68" s="79" t="s">
        <v>30</v>
      </c>
      <c r="G68" s="53"/>
      <c r="H68" s="154"/>
      <c r="I68" s="154"/>
      <c r="J68" s="157"/>
      <c r="K68" s="157"/>
      <c r="L68" s="157"/>
      <c r="M68" s="80"/>
      <c r="N68" s="81" t="str">
        <f>IFERROR((M68/$D$31*$B$20/$C$20*$D$20/$E$20*$F$20/$G$20*J66/I66*L66/K66*$H$20/G68*$I$20/$J$20*H66), "")</f>
        <v/>
      </c>
      <c r="O68" s="162"/>
      <c r="P68" s="20"/>
    </row>
    <row r="69" spans="1:16" ht="26.1" customHeight="1" thickBot="1" x14ac:dyDescent="0.35">
      <c r="A69" s="135"/>
      <c r="B69" s="137"/>
      <c r="C69" s="137"/>
      <c r="D69" s="139"/>
      <c r="E69" s="141"/>
      <c r="F69" s="88" t="s">
        <v>31</v>
      </c>
      <c r="G69" s="92"/>
      <c r="H69" s="155"/>
      <c r="I69" s="155"/>
      <c r="J69" s="158"/>
      <c r="K69" s="158"/>
      <c r="L69" s="158"/>
      <c r="M69" s="89"/>
      <c r="N69" s="90" t="str">
        <f>IFERROR((M69/$E$31*$B$21/$C$21*$D$21/$E$21*$F$21/$G$21*J66/I66*L66/K66*$H$21/G69*$I$21/$J$21*H66), "")</f>
        <v/>
      </c>
      <c r="O69" s="164"/>
      <c r="P69" s="20"/>
    </row>
    <row r="70" spans="1:16" ht="26.1" customHeight="1" x14ac:dyDescent="0.3">
      <c r="A70" s="135"/>
      <c r="B70" s="137"/>
      <c r="C70" s="137"/>
      <c r="D70" s="139"/>
      <c r="E70" s="141"/>
      <c r="F70" s="75" t="s">
        <v>32</v>
      </c>
      <c r="G70" s="97">
        <f>G66</f>
        <v>0</v>
      </c>
      <c r="H70" s="150">
        <f>H66</f>
        <v>0</v>
      </c>
      <c r="I70" s="153"/>
      <c r="J70" s="147">
        <f>J66</f>
        <v>0</v>
      </c>
      <c r="K70" s="147">
        <f>K66</f>
        <v>0</v>
      </c>
      <c r="L70" s="147">
        <f>L66</f>
        <v>0</v>
      </c>
      <c r="M70" s="77" t="s">
        <v>48</v>
      </c>
      <c r="N70" s="78" t="str">
        <f>IFERROR((M70/$B$31*B$18/$C$18*$D$18/$E$18*$F$18/$G$18*J70/I70*L70/K70*$H$18/G70*$I$18/$J$18*H70), "")</f>
        <v/>
      </c>
      <c r="O70" s="78" t="str">
        <f>IFERROR((AVERAGE(N66,N70)), "")</f>
        <v/>
      </c>
      <c r="P70" s="20"/>
    </row>
    <row r="71" spans="1:16" ht="26.1" customHeight="1" x14ac:dyDescent="0.3">
      <c r="A71" s="135"/>
      <c r="B71" s="137"/>
      <c r="C71" s="137"/>
      <c r="D71" s="139"/>
      <c r="E71" s="141"/>
      <c r="F71" s="79" t="s">
        <v>33</v>
      </c>
      <c r="G71" s="98">
        <f t="shared" ref="G71:G73" si="12">G67</f>
        <v>0</v>
      </c>
      <c r="H71" s="151"/>
      <c r="I71" s="154"/>
      <c r="J71" s="148"/>
      <c r="K71" s="148"/>
      <c r="L71" s="148"/>
      <c r="M71" s="80" t="s">
        <v>48</v>
      </c>
      <c r="N71" s="81" t="str">
        <f>IFERROR((M71/$C$31*$B$19/$C$19*$D$19/$E$19*$F$19/$G$19*J70/I70*L70/K70*$H$19/G71*$I$19/$J$19*H70), "")</f>
        <v/>
      </c>
      <c r="O71" s="81" t="str">
        <f t="shared" ref="O71:O73" si="13">IFERROR((AVERAGE(N67,N71)), "")</f>
        <v/>
      </c>
      <c r="P71" s="20"/>
    </row>
    <row r="72" spans="1:16" ht="26.1" customHeight="1" x14ac:dyDescent="0.3">
      <c r="A72" s="135"/>
      <c r="B72" s="137"/>
      <c r="C72" s="137"/>
      <c r="D72" s="139"/>
      <c r="E72" s="141"/>
      <c r="F72" s="79" t="s">
        <v>30</v>
      </c>
      <c r="G72" s="98">
        <f t="shared" si="12"/>
        <v>0</v>
      </c>
      <c r="H72" s="151"/>
      <c r="I72" s="154"/>
      <c r="J72" s="148"/>
      <c r="K72" s="148"/>
      <c r="L72" s="148"/>
      <c r="M72" s="80" t="s">
        <v>48</v>
      </c>
      <c r="N72" s="81" t="str">
        <f>IFERROR((M72/$D$31*$B$20/$C$20*$D$20/$E$20*$F$20/$G$20*J70/I70*L70/K70*$H$20/G72*$I$20/$J$20*H70), "")</f>
        <v/>
      </c>
      <c r="O72" s="81" t="str">
        <f t="shared" si="13"/>
        <v/>
      </c>
      <c r="P72" s="20"/>
    </row>
    <row r="73" spans="1:16" ht="26.1" customHeight="1" thickBot="1" x14ac:dyDescent="0.35">
      <c r="A73" s="136"/>
      <c r="B73" s="138"/>
      <c r="C73" s="138"/>
      <c r="D73" s="140"/>
      <c r="E73" s="142"/>
      <c r="F73" s="88" t="s">
        <v>31</v>
      </c>
      <c r="G73" s="99">
        <f t="shared" si="12"/>
        <v>0</v>
      </c>
      <c r="H73" s="152"/>
      <c r="I73" s="155"/>
      <c r="J73" s="149"/>
      <c r="K73" s="149"/>
      <c r="L73" s="149"/>
      <c r="M73" s="89" t="s">
        <v>48</v>
      </c>
      <c r="N73" s="90" t="str">
        <f>IFERROR((M73/$E$31*$B$21/$C$21*$D$21/$E$21*$F$21/$G$21*J70/I70*L70/K70*$H$21/G73*$I$21/$J$21*H70), "")</f>
        <v/>
      </c>
      <c r="O73" s="90" t="str">
        <f t="shared" si="13"/>
        <v/>
      </c>
      <c r="P73" s="20"/>
    </row>
    <row r="74" spans="1:16" ht="7.2" customHeight="1" thickBot="1" x14ac:dyDescent="0.35">
      <c r="A74" s="159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1"/>
      <c r="P74" s="100"/>
    </row>
    <row r="75" spans="1:16" ht="26.1" customHeight="1" x14ac:dyDescent="0.3">
      <c r="A75" s="144"/>
      <c r="B75" s="145"/>
      <c r="C75" s="145"/>
      <c r="D75" s="146"/>
      <c r="E75" s="143"/>
      <c r="F75" s="93" t="s">
        <v>32</v>
      </c>
      <c r="G75" s="94"/>
      <c r="H75" s="154"/>
      <c r="I75" s="154"/>
      <c r="J75" s="157"/>
      <c r="K75" s="157"/>
      <c r="L75" s="157"/>
      <c r="M75" s="95"/>
      <c r="N75" s="96" t="str">
        <f>IFERROR((M75/$B$31*B$18/$C$18*$D$18/$E$18*$F$18/$G$18*J75/I75*L75/K75*$H$18/G75*$I$18/$J$18*H75), "")</f>
        <v/>
      </c>
      <c r="O75" s="162"/>
      <c r="P75" s="20"/>
    </row>
    <row r="76" spans="1:16" ht="26.1" customHeight="1" x14ac:dyDescent="0.3">
      <c r="A76" s="135"/>
      <c r="B76" s="137"/>
      <c r="C76" s="137"/>
      <c r="D76" s="139"/>
      <c r="E76" s="141"/>
      <c r="F76" s="79" t="s">
        <v>33</v>
      </c>
      <c r="G76" s="53"/>
      <c r="H76" s="154"/>
      <c r="I76" s="154"/>
      <c r="J76" s="157"/>
      <c r="K76" s="157"/>
      <c r="L76" s="157"/>
      <c r="M76" s="80"/>
      <c r="N76" s="81" t="str">
        <f>IFERROR((M76/$C$31*$B$19/$C$19*$D$19/$E$19*$F$19/$G$19*J75/I75*L75/K75*$H$19/G76*$I$19/$J$19*H75), "")</f>
        <v/>
      </c>
      <c r="O76" s="162"/>
      <c r="P76" s="20"/>
    </row>
    <row r="77" spans="1:16" ht="26.1" customHeight="1" x14ac:dyDescent="0.3">
      <c r="A77" s="135"/>
      <c r="B77" s="137"/>
      <c r="C77" s="137"/>
      <c r="D77" s="139"/>
      <c r="E77" s="141"/>
      <c r="F77" s="79" t="s">
        <v>30</v>
      </c>
      <c r="G77" s="53"/>
      <c r="H77" s="154"/>
      <c r="I77" s="154"/>
      <c r="J77" s="157"/>
      <c r="K77" s="157"/>
      <c r="L77" s="157"/>
      <c r="M77" s="80"/>
      <c r="N77" s="81" t="str">
        <f>IFERROR((M77/$D$31*$B$20/$C$20*$D$20/$E$20*$F$20/$G$20*J75/I75*L75/K75*$H$20/G77*$I$20/$J$20*H75), "")</f>
        <v/>
      </c>
      <c r="O77" s="162"/>
      <c r="P77" s="20"/>
    </row>
    <row r="78" spans="1:16" ht="26.1" customHeight="1" thickBot="1" x14ac:dyDescent="0.35">
      <c r="A78" s="135"/>
      <c r="B78" s="137"/>
      <c r="C78" s="137"/>
      <c r="D78" s="139"/>
      <c r="E78" s="141"/>
      <c r="F78" s="82" t="s">
        <v>31</v>
      </c>
      <c r="G78" s="83"/>
      <c r="H78" s="154"/>
      <c r="I78" s="154"/>
      <c r="J78" s="157"/>
      <c r="K78" s="157"/>
      <c r="L78" s="157"/>
      <c r="M78" s="84"/>
      <c r="N78" s="85" t="str">
        <f>IFERROR((M78/$E$31*$B$21/$C$21*$D$21/$E$21*$F$21/$G$21*J75/I75*L75/K75*$H$21/G78*$I$21/$J$21*H75), "")</f>
        <v/>
      </c>
      <c r="O78" s="162"/>
      <c r="P78" s="20"/>
    </row>
    <row r="79" spans="1:16" ht="26.1" customHeight="1" x14ac:dyDescent="0.3">
      <c r="A79" s="135"/>
      <c r="B79" s="137"/>
      <c r="C79" s="137"/>
      <c r="D79" s="139"/>
      <c r="E79" s="141"/>
      <c r="F79" s="75" t="s">
        <v>32</v>
      </c>
      <c r="G79" s="97">
        <f>G75</f>
        <v>0</v>
      </c>
      <c r="H79" s="150">
        <f>H75</f>
        <v>0</v>
      </c>
      <c r="I79" s="153"/>
      <c r="J79" s="147">
        <f>J75</f>
        <v>0</v>
      </c>
      <c r="K79" s="147">
        <f>K75</f>
        <v>0</v>
      </c>
      <c r="L79" s="147">
        <f>L75</f>
        <v>0</v>
      </c>
      <c r="M79" s="77" t="s">
        <v>48</v>
      </c>
      <c r="N79" s="78" t="str">
        <f>IFERROR((M79/$B$31*B$18/$C$18*$D$18/$E$18*$F$18/$G$18*J79/I79*L79/K79*$H$18/G79*$I$18/$J$18*H79), "")</f>
        <v/>
      </c>
      <c r="O79" s="78" t="str">
        <f>IFERROR((AVERAGE(N75,N79)), "")</f>
        <v/>
      </c>
      <c r="P79" s="20"/>
    </row>
    <row r="80" spans="1:16" ht="26.1" customHeight="1" x14ac:dyDescent="0.3">
      <c r="A80" s="135"/>
      <c r="B80" s="137"/>
      <c r="C80" s="137"/>
      <c r="D80" s="139"/>
      <c r="E80" s="141"/>
      <c r="F80" s="79" t="s">
        <v>33</v>
      </c>
      <c r="G80" s="98">
        <f t="shared" ref="G80:G82" si="14">G76</f>
        <v>0</v>
      </c>
      <c r="H80" s="151"/>
      <c r="I80" s="154"/>
      <c r="J80" s="148"/>
      <c r="K80" s="148"/>
      <c r="L80" s="148"/>
      <c r="M80" s="80" t="s">
        <v>48</v>
      </c>
      <c r="N80" s="81" t="str">
        <f>IFERROR((M80/$C$31*$B$19/$C$19*$D$19/$E$19*$F$19/$G$19*J79/I79*L79/K79*$H$19/G80*$I$19/$J$19*H79), "")</f>
        <v/>
      </c>
      <c r="O80" s="81" t="str">
        <f t="shared" ref="O80:O82" si="15">IFERROR((AVERAGE(N76,N80)), "")</f>
        <v/>
      </c>
      <c r="P80" s="20"/>
    </row>
    <row r="81" spans="1:16" ht="26.1" customHeight="1" x14ac:dyDescent="0.3">
      <c r="A81" s="135"/>
      <c r="B81" s="137"/>
      <c r="C81" s="137"/>
      <c r="D81" s="139"/>
      <c r="E81" s="141"/>
      <c r="F81" s="79" t="s">
        <v>30</v>
      </c>
      <c r="G81" s="98">
        <f t="shared" si="14"/>
        <v>0</v>
      </c>
      <c r="H81" s="151"/>
      <c r="I81" s="154"/>
      <c r="J81" s="148"/>
      <c r="K81" s="148"/>
      <c r="L81" s="148"/>
      <c r="M81" s="80" t="s">
        <v>48</v>
      </c>
      <c r="N81" s="81" t="str">
        <f>IFERROR((M81/$D$31*$B$20/$C$20*$D$20/$E$20*$F$20/$G$20*J79/I79*L79/K79*$H$20/G81*$I$20/$J$20*H79), "")</f>
        <v/>
      </c>
      <c r="O81" s="81" t="str">
        <f t="shared" si="15"/>
        <v/>
      </c>
      <c r="P81" s="20"/>
    </row>
    <row r="82" spans="1:16" ht="25.95" customHeight="1" thickBot="1" x14ac:dyDescent="0.35">
      <c r="A82" s="136"/>
      <c r="B82" s="138"/>
      <c r="C82" s="138"/>
      <c r="D82" s="140"/>
      <c r="E82" s="142"/>
      <c r="F82" s="88" t="s">
        <v>31</v>
      </c>
      <c r="G82" s="99">
        <f t="shared" si="14"/>
        <v>0</v>
      </c>
      <c r="H82" s="152"/>
      <c r="I82" s="155"/>
      <c r="J82" s="149"/>
      <c r="K82" s="149"/>
      <c r="L82" s="149"/>
      <c r="M82" s="89" t="s">
        <v>48</v>
      </c>
      <c r="N82" s="90" t="str">
        <f>IFERROR((M82/$E$31*$B$21/$C$21*$D$21/$E$21*$F$21/$G$21*J79/I79*L79/K79*$H$21/G82*$I$21/$J$21*H79), "")</f>
        <v/>
      </c>
      <c r="O82" s="90" t="str">
        <f t="shared" si="15"/>
        <v/>
      </c>
      <c r="P82" s="20"/>
    </row>
    <row r="83" spans="1:16" ht="7.2" customHeight="1" thickBot="1" x14ac:dyDescent="0.35">
      <c r="A83" s="159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1"/>
      <c r="P83" s="100"/>
    </row>
    <row r="84" spans="1:16" ht="26.1" customHeight="1" x14ac:dyDescent="0.3">
      <c r="A84" s="144"/>
      <c r="B84" s="145"/>
      <c r="C84" s="145"/>
      <c r="D84" s="146"/>
      <c r="E84" s="143"/>
      <c r="F84" s="93" t="s">
        <v>32</v>
      </c>
      <c r="G84" s="94"/>
      <c r="H84" s="154"/>
      <c r="I84" s="154"/>
      <c r="J84" s="157"/>
      <c r="K84" s="157"/>
      <c r="L84" s="157"/>
      <c r="M84" s="133"/>
      <c r="N84" s="96" t="str">
        <f>IFERROR((M84/$B$31*B$18/$C$18*$D$18/$E$18*$F$18/$G$18*J84/I84*L84/K84*$H$18/G84*$I$18/$J$18*H84), "")</f>
        <v/>
      </c>
      <c r="O84" s="162"/>
      <c r="P84" s="20"/>
    </row>
    <row r="85" spans="1:16" ht="26.1" customHeight="1" x14ac:dyDescent="0.3">
      <c r="A85" s="135"/>
      <c r="B85" s="137"/>
      <c r="C85" s="137"/>
      <c r="D85" s="139"/>
      <c r="E85" s="141"/>
      <c r="F85" s="79" t="s">
        <v>33</v>
      </c>
      <c r="G85" s="53"/>
      <c r="H85" s="154"/>
      <c r="I85" s="154"/>
      <c r="J85" s="157"/>
      <c r="K85" s="157"/>
      <c r="L85" s="157"/>
      <c r="M85" s="134"/>
      <c r="N85" s="81" t="str">
        <f>IFERROR((M85/$C$31*$B$19/$C$19*$D$19/$E$19*$F$19/$G$19*J84/I84*L84/K84*$H$19/G85*$I$19/$J$19*H84), "")</f>
        <v/>
      </c>
      <c r="O85" s="162"/>
      <c r="P85" s="20"/>
    </row>
    <row r="86" spans="1:16" ht="26.1" customHeight="1" x14ac:dyDescent="0.3">
      <c r="A86" s="135"/>
      <c r="B86" s="137"/>
      <c r="C86" s="137"/>
      <c r="D86" s="139"/>
      <c r="E86" s="141"/>
      <c r="F86" s="79" t="s">
        <v>30</v>
      </c>
      <c r="G86" s="53"/>
      <c r="H86" s="154"/>
      <c r="I86" s="154"/>
      <c r="J86" s="157"/>
      <c r="K86" s="157"/>
      <c r="L86" s="157"/>
      <c r="M86" s="134"/>
      <c r="N86" s="81" t="str">
        <f>IFERROR((M86/$D$31*$B$20/$C$20*$D$20/$E$20*$F$20/$G$20*J84/I84*L84/K84*$H$20/G86*$I$20/$J$20*H84), "")</f>
        <v/>
      </c>
      <c r="O86" s="162"/>
      <c r="P86" s="20"/>
    </row>
    <row r="87" spans="1:16" ht="26.1" customHeight="1" thickBot="1" x14ac:dyDescent="0.35">
      <c r="A87" s="135"/>
      <c r="B87" s="137"/>
      <c r="C87" s="137"/>
      <c r="D87" s="139"/>
      <c r="E87" s="141"/>
      <c r="F87" s="82" t="s">
        <v>31</v>
      </c>
      <c r="G87" s="83"/>
      <c r="H87" s="154"/>
      <c r="I87" s="154"/>
      <c r="J87" s="157"/>
      <c r="K87" s="157"/>
      <c r="L87" s="157"/>
      <c r="M87" s="134"/>
      <c r="N87" s="85" t="str">
        <f>IFERROR((M87/$E$31*$B$21/$C$21*$D$21/$E$21*$F$21/$G$21*J84/I84*L84/K84*$H$21/G87*$I$21/$J$21*H84), "")</f>
        <v/>
      </c>
      <c r="O87" s="162"/>
      <c r="P87" s="20"/>
    </row>
    <row r="88" spans="1:16" ht="26.1" customHeight="1" x14ac:dyDescent="0.3">
      <c r="A88" s="135"/>
      <c r="B88" s="137"/>
      <c r="C88" s="137"/>
      <c r="D88" s="139"/>
      <c r="E88" s="141"/>
      <c r="F88" s="75" t="s">
        <v>32</v>
      </c>
      <c r="G88" s="101">
        <f>G84</f>
        <v>0</v>
      </c>
      <c r="H88" s="150">
        <f>H84</f>
        <v>0</v>
      </c>
      <c r="I88" s="153"/>
      <c r="J88" s="147">
        <f>J84</f>
        <v>0</v>
      </c>
      <c r="K88" s="147">
        <f>K84</f>
        <v>0</v>
      </c>
      <c r="L88" s="147">
        <f>L84</f>
        <v>0</v>
      </c>
      <c r="M88" s="77" t="s">
        <v>48</v>
      </c>
      <c r="N88" s="78" t="str">
        <f>IFERROR((M88/$B$31*B$18/$C$18*$D$18/$E$18*$F$18/$G$18*J88/I88*L88/K88*$H$18/G88*$I$18/$J$18*H88), "")</f>
        <v/>
      </c>
      <c r="O88" s="78" t="str">
        <f>IFERROR((AVERAGE(N84,N88)), "")</f>
        <v/>
      </c>
      <c r="P88" s="20"/>
    </row>
    <row r="89" spans="1:16" ht="26.1" customHeight="1" x14ac:dyDescent="0.3">
      <c r="A89" s="135"/>
      <c r="B89" s="137"/>
      <c r="C89" s="137"/>
      <c r="D89" s="139"/>
      <c r="E89" s="141"/>
      <c r="F89" s="79" t="s">
        <v>33</v>
      </c>
      <c r="G89" s="102">
        <f t="shared" ref="G89:G91" si="16">G85</f>
        <v>0</v>
      </c>
      <c r="H89" s="151"/>
      <c r="I89" s="154"/>
      <c r="J89" s="148"/>
      <c r="K89" s="148"/>
      <c r="L89" s="148"/>
      <c r="M89" s="80" t="s">
        <v>48</v>
      </c>
      <c r="N89" s="81" t="str">
        <f>IFERROR((M89/$C$31*$B$19/$C$19*$D$19/$E$19*$F$19/$G$19*J88/I88*L88/K88*$H$19/G89*$I$19/$J$19*H88), "")</f>
        <v/>
      </c>
      <c r="O89" s="81" t="str">
        <f t="shared" ref="O89:O91" si="17">IFERROR((AVERAGE(N85,N89)), "")</f>
        <v/>
      </c>
      <c r="P89" s="20"/>
    </row>
    <row r="90" spans="1:16" ht="26.1" customHeight="1" x14ac:dyDescent="0.3">
      <c r="A90" s="135"/>
      <c r="B90" s="137"/>
      <c r="C90" s="137"/>
      <c r="D90" s="139"/>
      <c r="E90" s="141"/>
      <c r="F90" s="79" t="s">
        <v>30</v>
      </c>
      <c r="G90" s="102">
        <f t="shared" si="16"/>
        <v>0</v>
      </c>
      <c r="H90" s="151"/>
      <c r="I90" s="154"/>
      <c r="J90" s="148"/>
      <c r="K90" s="148"/>
      <c r="L90" s="148"/>
      <c r="M90" s="80" t="s">
        <v>48</v>
      </c>
      <c r="N90" s="81" t="str">
        <f>IFERROR((M90/$D$31*$B$20/$C$20*$D$20/$E$20*$F$20/$G$20*J88/I88*L88/K88*$H$20/G90*$I$20/$J$20*H88), "")</f>
        <v/>
      </c>
      <c r="O90" s="81" t="str">
        <f t="shared" si="17"/>
        <v/>
      </c>
      <c r="P90" s="20"/>
    </row>
    <row r="91" spans="1:16" ht="26.1" customHeight="1" thickBot="1" x14ac:dyDescent="0.35">
      <c r="A91" s="136"/>
      <c r="B91" s="138"/>
      <c r="C91" s="138"/>
      <c r="D91" s="140"/>
      <c r="E91" s="142"/>
      <c r="F91" s="88" t="s">
        <v>31</v>
      </c>
      <c r="G91" s="103">
        <f t="shared" si="16"/>
        <v>0</v>
      </c>
      <c r="H91" s="152"/>
      <c r="I91" s="155"/>
      <c r="J91" s="149"/>
      <c r="K91" s="149"/>
      <c r="L91" s="149"/>
      <c r="M91" s="89" t="s">
        <v>48</v>
      </c>
      <c r="N91" s="90" t="str">
        <f>IFERROR((M91/$E$31*$B$21/$C$21*$D$21/$E$21*$F$21/$G$21*J88/I88*L88/K88*$H$21/G91*$I$21/$J$21*H88), "")</f>
        <v/>
      </c>
      <c r="O91" s="90" t="str">
        <f t="shared" si="17"/>
        <v/>
      </c>
      <c r="P91" s="20"/>
    </row>
    <row r="92" spans="1:16" ht="7.2" customHeight="1" thickBot="1" x14ac:dyDescent="0.35">
      <c r="A92" s="159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1"/>
      <c r="P92" s="100"/>
    </row>
    <row r="93" spans="1:16" ht="26.1" customHeight="1" x14ac:dyDescent="0.3">
      <c r="A93" s="144"/>
      <c r="B93" s="145"/>
      <c r="C93" s="145"/>
      <c r="D93" s="146"/>
      <c r="E93" s="143"/>
      <c r="F93" s="93" t="s">
        <v>32</v>
      </c>
      <c r="G93" s="94"/>
      <c r="H93" s="154"/>
      <c r="I93" s="154"/>
      <c r="J93" s="157"/>
      <c r="K93" s="157"/>
      <c r="L93" s="157"/>
      <c r="M93" s="95"/>
      <c r="N93" s="96" t="str">
        <f>IFERROR((M93/$B$31*B$18/$C$18*$D$18/$E$18*$F$18/$G$18*J93/I93*L93/K93*$H$18/G93*$I$18/$J$18*H93), "")</f>
        <v/>
      </c>
      <c r="O93" s="162"/>
      <c r="P93" s="20"/>
    </row>
    <row r="94" spans="1:16" ht="26.1" customHeight="1" x14ac:dyDescent="0.3">
      <c r="A94" s="135"/>
      <c r="B94" s="137"/>
      <c r="C94" s="137"/>
      <c r="D94" s="139"/>
      <c r="E94" s="141"/>
      <c r="F94" s="79" t="s">
        <v>33</v>
      </c>
      <c r="G94" s="53"/>
      <c r="H94" s="154"/>
      <c r="I94" s="154"/>
      <c r="J94" s="157"/>
      <c r="K94" s="157"/>
      <c r="L94" s="157"/>
      <c r="M94" s="80"/>
      <c r="N94" s="81" t="str">
        <f>IFERROR((M94/$C$31*$B$19/$C$19*$D$19/$E$19*$F$19/$G$19*J93/I93*L93/K93*$H$19/G94*$I$19/$J$19*H93), "")</f>
        <v/>
      </c>
      <c r="O94" s="162"/>
      <c r="P94" s="20"/>
    </row>
    <row r="95" spans="1:16" ht="26.1" customHeight="1" x14ac:dyDescent="0.3">
      <c r="A95" s="135"/>
      <c r="B95" s="137"/>
      <c r="C95" s="137"/>
      <c r="D95" s="139"/>
      <c r="E95" s="141"/>
      <c r="F95" s="79" t="s">
        <v>30</v>
      </c>
      <c r="G95" s="53"/>
      <c r="H95" s="154"/>
      <c r="I95" s="154"/>
      <c r="J95" s="157"/>
      <c r="K95" s="157"/>
      <c r="L95" s="157"/>
      <c r="M95" s="80"/>
      <c r="N95" s="81" t="str">
        <f>IFERROR((M95/$D$31*$B$20/$C$20*$D$20/$E$20*$F$20/$G$20*J93/I93*L93/K93*$H$20/G95*$I$20/$J$20*H93), "")</f>
        <v/>
      </c>
      <c r="O95" s="162"/>
      <c r="P95" s="20"/>
    </row>
    <row r="96" spans="1:16" ht="26.1" customHeight="1" thickBot="1" x14ac:dyDescent="0.35">
      <c r="A96" s="135"/>
      <c r="B96" s="137"/>
      <c r="C96" s="137"/>
      <c r="D96" s="139"/>
      <c r="E96" s="141"/>
      <c r="F96" s="82" t="s">
        <v>31</v>
      </c>
      <c r="G96" s="83"/>
      <c r="H96" s="154"/>
      <c r="I96" s="154"/>
      <c r="J96" s="157"/>
      <c r="K96" s="157"/>
      <c r="L96" s="157"/>
      <c r="M96" s="84"/>
      <c r="N96" s="85" t="str">
        <f>IFERROR((M96/$E$31*$B$21/$C$21*$D$21/$E$21*$F$21/$G$21*J93/I93*L93/K93*$H$21/G96*$I$21/$J$21*H93), "")</f>
        <v/>
      </c>
      <c r="O96" s="162"/>
      <c r="P96" s="20"/>
    </row>
    <row r="97" spans="1:16" ht="26.1" customHeight="1" x14ac:dyDescent="0.3">
      <c r="A97" s="135"/>
      <c r="B97" s="137"/>
      <c r="C97" s="137"/>
      <c r="D97" s="139"/>
      <c r="E97" s="141"/>
      <c r="F97" s="75" t="s">
        <v>32</v>
      </c>
      <c r="G97" s="101">
        <f>G93</f>
        <v>0</v>
      </c>
      <c r="H97" s="150">
        <f>H93</f>
        <v>0</v>
      </c>
      <c r="I97" s="153"/>
      <c r="J97" s="147">
        <f>J93</f>
        <v>0</v>
      </c>
      <c r="K97" s="147">
        <f>K93</f>
        <v>0</v>
      </c>
      <c r="L97" s="147">
        <f>L93</f>
        <v>0</v>
      </c>
      <c r="M97" s="77"/>
      <c r="N97" s="78" t="str">
        <f>IFERROR((M97/$B$31*B$18/$C$18*$D$18/$E$18*$F$18/$G$18*J97/I97*L97/K97*$H$18/G97*$I$18/$J$18*H97), "")</f>
        <v/>
      </c>
      <c r="O97" s="78" t="str">
        <f>IFERROR((AVERAGE(N93,N97)), "")</f>
        <v/>
      </c>
      <c r="P97" s="20"/>
    </row>
    <row r="98" spans="1:16" ht="26.1" customHeight="1" x14ac:dyDescent="0.3">
      <c r="A98" s="135"/>
      <c r="B98" s="137"/>
      <c r="C98" s="137"/>
      <c r="D98" s="139"/>
      <c r="E98" s="141"/>
      <c r="F98" s="79" t="s">
        <v>33</v>
      </c>
      <c r="G98" s="102">
        <f t="shared" ref="G98:G100" si="18">G94</f>
        <v>0</v>
      </c>
      <c r="H98" s="151"/>
      <c r="I98" s="154"/>
      <c r="J98" s="148"/>
      <c r="K98" s="148"/>
      <c r="L98" s="148"/>
      <c r="M98" s="80"/>
      <c r="N98" s="81" t="str">
        <f>IFERROR((M98/$C$31*$B$19/$C$19*$D$19/$E$19*$F$19/$G$19*J97/I97*L97/K97*$H$19/G98*$I$19/$J$19*H97), "")</f>
        <v/>
      </c>
      <c r="O98" s="81" t="str">
        <f t="shared" ref="O98:O100" si="19">IFERROR((AVERAGE(N94,N98)), "")</f>
        <v/>
      </c>
      <c r="P98" s="20"/>
    </row>
    <row r="99" spans="1:16" ht="26.1" customHeight="1" x14ac:dyDescent="0.3">
      <c r="A99" s="135"/>
      <c r="B99" s="137"/>
      <c r="C99" s="137"/>
      <c r="D99" s="139"/>
      <c r="E99" s="141"/>
      <c r="F99" s="79" t="s">
        <v>30</v>
      </c>
      <c r="G99" s="102">
        <f t="shared" si="18"/>
        <v>0</v>
      </c>
      <c r="H99" s="151"/>
      <c r="I99" s="154"/>
      <c r="J99" s="148"/>
      <c r="K99" s="148"/>
      <c r="L99" s="148"/>
      <c r="M99" s="80"/>
      <c r="N99" s="81" t="str">
        <f>IFERROR((M99/$D$31*$B$20/$C$20*$D$20/$E$20*$F$20/$G$20*J97/I97*L97/K97*$H$20/G99*$I$20/$J$20*H97), "")</f>
        <v/>
      </c>
      <c r="O99" s="81" t="str">
        <f t="shared" si="19"/>
        <v/>
      </c>
      <c r="P99" s="20"/>
    </row>
    <row r="100" spans="1:16" ht="26.1" customHeight="1" thickBot="1" x14ac:dyDescent="0.35">
      <c r="A100" s="136"/>
      <c r="B100" s="138"/>
      <c r="C100" s="138"/>
      <c r="D100" s="140"/>
      <c r="E100" s="142"/>
      <c r="F100" s="88" t="s">
        <v>31</v>
      </c>
      <c r="G100" s="103">
        <f t="shared" si="18"/>
        <v>0</v>
      </c>
      <c r="H100" s="152"/>
      <c r="I100" s="155"/>
      <c r="J100" s="149"/>
      <c r="K100" s="149"/>
      <c r="L100" s="149"/>
      <c r="M100" s="89"/>
      <c r="N100" s="90" t="str">
        <f>IFERROR((M100/$E$31*$B$21/$C$21*$D$21/$E$21*$F$21/$G$21*J97/I97*L97/K97*$H$21/G100*$I$21/$J$21*H97), "")</f>
        <v/>
      </c>
      <c r="O100" s="90" t="str">
        <f t="shared" si="19"/>
        <v/>
      </c>
      <c r="P100" s="20"/>
    </row>
    <row r="101" spans="1:16" ht="17.100000000000001" customHeight="1" thickBot="1" x14ac:dyDescent="0.35">
      <c r="A101" s="30"/>
      <c r="B101" s="31"/>
      <c r="C101" s="31"/>
      <c r="D101" s="31"/>
      <c r="E101" s="31"/>
      <c r="F101" s="31"/>
      <c r="G101" s="32"/>
      <c r="H101" s="31"/>
      <c r="I101" s="31"/>
      <c r="J101" s="31"/>
      <c r="K101" s="31"/>
      <c r="L101" s="31"/>
      <c r="M101" s="31"/>
      <c r="N101" s="32"/>
      <c r="O101" s="33"/>
      <c r="P101" s="32"/>
    </row>
    <row r="102" spans="1:16" ht="17.100000000000001" customHeight="1" x14ac:dyDescent="0.3">
      <c r="A102" s="171" t="s">
        <v>14</v>
      </c>
      <c r="B102" s="174"/>
      <c r="C102" s="175"/>
      <c r="D102" s="176"/>
      <c r="E102" s="17"/>
      <c r="F102" s="17"/>
      <c r="G102" s="32"/>
      <c r="H102" s="31"/>
      <c r="I102" s="165" t="s">
        <v>13</v>
      </c>
      <c r="J102" s="166"/>
      <c r="K102" s="183"/>
      <c r="L102" s="184"/>
      <c r="M102" s="184"/>
      <c r="N102" s="184"/>
      <c r="O102" s="185"/>
      <c r="P102" s="18"/>
    </row>
    <row r="103" spans="1:16" ht="17.100000000000001" customHeight="1" x14ac:dyDescent="0.3">
      <c r="A103" s="172"/>
      <c r="B103" s="177"/>
      <c r="C103" s="178"/>
      <c r="D103" s="179"/>
      <c r="E103" s="17"/>
      <c r="F103" s="17"/>
      <c r="G103" s="32"/>
      <c r="H103" s="31"/>
      <c r="I103" s="167"/>
      <c r="J103" s="168"/>
      <c r="K103" s="186"/>
      <c r="L103" s="187"/>
      <c r="M103" s="187"/>
      <c r="N103" s="187"/>
      <c r="O103" s="188"/>
      <c r="P103" s="18"/>
    </row>
    <row r="104" spans="1:16" ht="17.100000000000001" customHeight="1" x14ac:dyDescent="0.3">
      <c r="A104" s="172"/>
      <c r="B104" s="177"/>
      <c r="C104" s="178"/>
      <c r="D104" s="179"/>
      <c r="E104" s="17"/>
      <c r="F104" s="17"/>
      <c r="G104" s="32"/>
      <c r="H104" s="31"/>
      <c r="I104" s="167"/>
      <c r="J104" s="168"/>
      <c r="K104" s="186"/>
      <c r="L104" s="187"/>
      <c r="M104" s="187"/>
      <c r="N104" s="187"/>
      <c r="O104" s="188"/>
      <c r="P104" s="18"/>
    </row>
    <row r="105" spans="1:16" ht="17.100000000000001" customHeight="1" thickBot="1" x14ac:dyDescent="0.35">
      <c r="A105" s="173"/>
      <c r="B105" s="180"/>
      <c r="C105" s="181"/>
      <c r="D105" s="182"/>
      <c r="E105" s="19"/>
      <c r="F105" s="19"/>
      <c r="G105" s="43"/>
      <c r="H105" s="44"/>
      <c r="I105" s="169"/>
      <c r="J105" s="170"/>
      <c r="K105" s="189"/>
      <c r="L105" s="190"/>
      <c r="M105" s="190"/>
      <c r="N105" s="190"/>
      <c r="O105" s="191"/>
      <c r="P105" s="18"/>
    </row>
    <row r="106" spans="1:16" ht="17.100000000000001" customHeight="1" x14ac:dyDescent="0.3">
      <c r="D106" s="6"/>
      <c r="E106" s="7"/>
      <c r="F106" s="7"/>
    </row>
    <row r="107" spans="1:16" ht="17.100000000000001" customHeight="1" x14ac:dyDescent="0.3">
      <c r="D107" s="6"/>
      <c r="E107" s="7"/>
      <c r="F107" s="7"/>
    </row>
  </sheetData>
  <mergeCells count="178">
    <mergeCell ref="A97:A100"/>
    <mergeCell ref="B97:B100"/>
    <mergeCell ref="C97:C100"/>
    <mergeCell ref="D97:D100"/>
    <mergeCell ref="E97:E100"/>
    <mergeCell ref="A7:B7"/>
    <mergeCell ref="C7:K7"/>
    <mergeCell ref="A1:K2"/>
    <mergeCell ref="A3:K3"/>
    <mergeCell ref="A4:K4"/>
    <mergeCell ref="A5:K5"/>
    <mergeCell ref="A6:K6"/>
    <mergeCell ref="A47:O47"/>
    <mergeCell ref="A56:O56"/>
    <mergeCell ref="L39:L42"/>
    <mergeCell ref="A11:B11"/>
    <mergeCell ref="C11:K11"/>
    <mergeCell ref="A12:B12"/>
    <mergeCell ref="C12:K12"/>
    <mergeCell ref="A13:B13"/>
    <mergeCell ref="C13:K13"/>
    <mergeCell ref="A8:B8"/>
    <mergeCell ref="C8:K8"/>
    <mergeCell ref="A9:B9"/>
    <mergeCell ref="C9:K9"/>
    <mergeCell ref="A10:B10"/>
    <mergeCell ref="C10:K10"/>
    <mergeCell ref="A15:K15"/>
    <mergeCell ref="H39:H42"/>
    <mergeCell ref="I39:I42"/>
    <mergeCell ref="J39:J42"/>
    <mergeCell ref="K39:K42"/>
    <mergeCell ref="A65:O65"/>
    <mergeCell ref="H43:H46"/>
    <mergeCell ref="J43:J46"/>
    <mergeCell ref="K43:K46"/>
    <mergeCell ref="L43:L46"/>
    <mergeCell ref="I43:I46"/>
    <mergeCell ref="K61:K64"/>
    <mergeCell ref="L61:L64"/>
    <mergeCell ref="H57:H60"/>
    <mergeCell ref="I57:I60"/>
    <mergeCell ref="J57:J60"/>
    <mergeCell ref="K57:K60"/>
    <mergeCell ref="L57:L60"/>
    <mergeCell ref="A36:O36"/>
    <mergeCell ref="O39:O42"/>
    <mergeCell ref="O48:O51"/>
    <mergeCell ref="I102:J105"/>
    <mergeCell ref="A102:A105"/>
    <mergeCell ref="B102:D105"/>
    <mergeCell ref="H84:H87"/>
    <mergeCell ref="I84:I87"/>
    <mergeCell ref="H52:H55"/>
    <mergeCell ref="I52:I55"/>
    <mergeCell ref="J52:J55"/>
    <mergeCell ref="K52:K55"/>
    <mergeCell ref="K102:O105"/>
    <mergeCell ref="A92:O92"/>
    <mergeCell ref="H93:H96"/>
    <mergeCell ref="I93:I96"/>
    <mergeCell ref="J93:J96"/>
    <mergeCell ref="K93:K96"/>
    <mergeCell ref="L93:L96"/>
    <mergeCell ref="O93:O96"/>
    <mergeCell ref="H97:H100"/>
    <mergeCell ref="I97:I100"/>
    <mergeCell ref="J97:J100"/>
    <mergeCell ref="K97:K100"/>
    <mergeCell ref="L97:L100"/>
    <mergeCell ref="I61:I64"/>
    <mergeCell ref="J61:J64"/>
    <mergeCell ref="O57:O60"/>
    <mergeCell ref="O66:O69"/>
    <mergeCell ref="O75:O78"/>
    <mergeCell ref="J84:J87"/>
    <mergeCell ref="K84:K87"/>
    <mergeCell ref="L84:L87"/>
    <mergeCell ref="H75:H78"/>
    <mergeCell ref="I75:I78"/>
    <mergeCell ref="J75:J78"/>
    <mergeCell ref="K75:K78"/>
    <mergeCell ref="L75:L78"/>
    <mergeCell ref="H70:H73"/>
    <mergeCell ref="I70:I73"/>
    <mergeCell ref="J70:J73"/>
    <mergeCell ref="L52:L55"/>
    <mergeCell ref="H48:H51"/>
    <mergeCell ref="I48:I51"/>
    <mergeCell ref="J48:J51"/>
    <mergeCell ref="K48:K51"/>
    <mergeCell ref="L48:L51"/>
    <mergeCell ref="H61:H64"/>
    <mergeCell ref="K70:K73"/>
    <mergeCell ref="L70:L73"/>
    <mergeCell ref="H66:H69"/>
    <mergeCell ref="I66:I69"/>
    <mergeCell ref="J66:J69"/>
    <mergeCell ref="K66:K69"/>
    <mergeCell ref="L88:L91"/>
    <mergeCell ref="H79:H82"/>
    <mergeCell ref="I79:I82"/>
    <mergeCell ref="J79:J82"/>
    <mergeCell ref="K79:K82"/>
    <mergeCell ref="L79:L82"/>
    <mergeCell ref="L66:L69"/>
    <mergeCell ref="A74:O74"/>
    <mergeCell ref="A83:O83"/>
    <mergeCell ref="H88:H91"/>
    <mergeCell ref="I88:I91"/>
    <mergeCell ref="J88:J91"/>
    <mergeCell ref="K88:K91"/>
    <mergeCell ref="A75:A78"/>
    <mergeCell ref="B75:B78"/>
    <mergeCell ref="C75:C78"/>
    <mergeCell ref="D75:D78"/>
    <mergeCell ref="O84:O87"/>
    <mergeCell ref="A66:A69"/>
    <mergeCell ref="B66:B69"/>
    <mergeCell ref="C66:C69"/>
    <mergeCell ref="D66:D69"/>
    <mergeCell ref="E66:E69"/>
    <mergeCell ref="A84:A87"/>
    <mergeCell ref="A39:A42"/>
    <mergeCell ref="B39:B42"/>
    <mergeCell ref="C39:C42"/>
    <mergeCell ref="D39:D42"/>
    <mergeCell ref="E39:E42"/>
    <mergeCell ref="A48:A51"/>
    <mergeCell ref="B48:B51"/>
    <mergeCell ref="C48:C51"/>
    <mergeCell ref="D48:D51"/>
    <mergeCell ref="E48:E51"/>
    <mergeCell ref="A43:A46"/>
    <mergeCell ref="B43:B46"/>
    <mergeCell ref="C43:C46"/>
    <mergeCell ref="D43:D46"/>
    <mergeCell ref="E43:E46"/>
    <mergeCell ref="B84:B87"/>
    <mergeCell ref="C84:C87"/>
    <mergeCell ref="D84:D87"/>
    <mergeCell ref="E84:E87"/>
    <mergeCell ref="A93:A96"/>
    <mergeCell ref="B93:B96"/>
    <mergeCell ref="C93:C96"/>
    <mergeCell ref="D93:D96"/>
    <mergeCell ref="E93:E96"/>
    <mergeCell ref="A88:A91"/>
    <mergeCell ref="B88:B91"/>
    <mergeCell ref="C88:C91"/>
    <mergeCell ref="D88:D91"/>
    <mergeCell ref="E88:E91"/>
    <mergeCell ref="A52:A55"/>
    <mergeCell ref="B52:B55"/>
    <mergeCell ref="C52:C55"/>
    <mergeCell ref="D52:D55"/>
    <mergeCell ref="E52:E55"/>
    <mergeCell ref="A61:A64"/>
    <mergeCell ref="B61:B64"/>
    <mergeCell ref="C61:C64"/>
    <mergeCell ref="D61:D64"/>
    <mergeCell ref="E61:E64"/>
    <mergeCell ref="A57:A60"/>
    <mergeCell ref="B57:B60"/>
    <mergeCell ref="C57:C60"/>
    <mergeCell ref="D57:D60"/>
    <mergeCell ref="E57:E60"/>
    <mergeCell ref="A70:A73"/>
    <mergeCell ref="B70:B73"/>
    <mergeCell ref="C70:C73"/>
    <mergeCell ref="D70:D73"/>
    <mergeCell ref="E70:E73"/>
    <mergeCell ref="A79:A82"/>
    <mergeCell ref="B79:B82"/>
    <mergeCell ref="C79:C82"/>
    <mergeCell ref="D79:D82"/>
    <mergeCell ref="E79:E82"/>
    <mergeCell ref="E75:E78"/>
  </mergeCells>
  <printOptions horizontalCentered="1"/>
  <pageMargins left="7.874015748031496E-2" right="0.19685039370078741" top="0.19685039370078741" bottom="0.19685039370078741" header="0" footer="0"/>
  <pageSetup paperSize="9" scale="39" fitToHeight="2" orientation="landscape" r:id="rId1"/>
  <headerFooter>
    <oddFooter>&amp;L&amp;Z&amp;F</oddFooter>
  </headerFooter>
  <rowBreaks count="1" manualBreakCount="1">
    <brk id="46" max="14" man="1"/>
  </rowBreaks>
  <ignoredErrors>
    <ignoredError sqref="G88:G91 G61:G64 G52:G55 G43:G4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"/>
  <sheetViews>
    <sheetView tabSelected="1" zoomScale="55" zoomScaleNormal="55" zoomScaleSheetLayoutView="25" workbookViewId="0">
      <selection activeCell="C8" sqref="C8:N8"/>
    </sheetView>
  </sheetViews>
  <sheetFormatPr defaultColWidth="9.109375" defaultRowHeight="17.100000000000001" customHeight="1" x14ac:dyDescent="0.3"/>
  <cols>
    <col min="1" max="1" width="32.6640625" style="2" customWidth="1"/>
    <col min="2" max="2" width="39.5546875" style="2" customWidth="1"/>
    <col min="3" max="3" width="23.44140625" style="2" customWidth="1"/>
    <col min="4" max="4" width="29.33203125" style="2" customWidth="1"/>
    <col min="5" max="5" width="30" style="2" customWidth="1"/>
    <col min="6" max="6" width="23.33203125" style="2" customWidth="1"/>
    <col min="7" max="7" width="19.88671875" style="3" customWidth="1"/>
    <col min="8" max="8" width="22.6640625" style="3" customWidth="1"/>
    <col min="9" max="9" width="17.109375" style="3" customWidth="1"/>
    <col min="10" max="10" width="26.44140625" style="3" customWidth="1"/>
    <col min="11" max="11" width="24.44140625" style="3" customWidth="1"/>
    <col min="12" max="12" width="24.44140625" style="2" customWidth="1"/>
    <col min="13" max="13" width="24.33203125" style="2" customWidth="1"/>
    <col min="14" max="14" width="23.109375" style="2" customWidth="1"/>
    <col min="15" max="16384" width="9.109375" style="2"/>
  </cols>
  <sheetData>
    <row r="1" spans="1:14" s="16" customFormat="1" ht="21" customHeight="1" x14ac:dyDescent="0.25">
      <c r="A1" s="205" t="s">
        <v>29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4"/>
    </row>
    <row r="2" spans="1:14" s="16" customFormat="1" ht="21" customHeight="1" x14ac:dyDescent="0.25">
      <c r="A2" s="265"/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7"/>
    </row>
    <row r="3" spans="1:14" s="16" customFormat="1" ht="27.9" customHeight="1" x14ac:dyDescent="0.25">
      <c r="A3" s="268" t="s">
        <v>71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70"/>
    </row>
    <row r="4" spans="1:14" s="16" customFormat="1" ht="27.9" customHeight="1" x14ac:dyDescent="0.25">
      <c r="A4" s="268" t="s">
        <v>18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70"/>
    </row>
    <row r="5" spans="1:14" s="1" customFormat="1" ht="27.9" customHeight="1" x14ac:dyDescent="0.3">
      <c r="A5" s="268" t="s">
        <v>51</v>
      </c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70"/>
    </row>
    <row r="6" spans="1:14" s="1" customFormat="1" ht="27.9" customHeight="1" thickBot="1" x14ac:dyDescent="0.35">
      <c r="A6" s="271"/>
      <c r="B6" s="272"/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3"/>
    </row>
    <row r="7" spans="1:14" s="57" customFormat="1" ht="27.9" customHeight="1" x14ac:dyDescent="0.45">
      <c r="A7" s="203" t="s">
        <v>19</v>
      </c>
      <c r="B7" s="224"/>
      <c r="C7" s="274" t="str">
        <f>'Lipid '!C7:K7</f>
        <v>Bupivacaine liposome injectable suspension (13.3 mg/ml)</v>
      </c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6"/>
    </row>
    <row r="8" spans="1:14" s="57" customFormat="1" ht="27.9" customHeight="1" x14ac:dyDescent="0.45">
      <c r="A8" s="195" t="s">
        <v>20</v>
      </c>
      <c r="B8" s="225"/>
      <c r="C8" s="227" t="str">
        <f>'Lipid '!C8:K8</f>
        <v>Bupivacaine liposome injectable suspension (13.3 mg/ml)</v>
      </c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9"/>
    </row>
    <row r="9" spans="1:14" s="61" customFormat="1" ht="27.9" customHeight="1" x14ac:dyDescent="0.45">
      <c r="A9" s="195" t="s">
        <v>21</v>
      </c>
      <c r="B9" s="225"/>
      <c r="C9" s="227" t="s">
        <v>49</v>
      </c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9"/>
    </row>
    <row r="10" spans="1:14" s="61" customFormat="1" ht="27.9" customHeight="1" x14ac:dyDescent="0.45">
      <c r="A10" s="195" t="s">
        <v>22</v>
      </c>
      <c r="B10" s="225"/>
      <c r="C10" s="227" t="str">
        <f>'Lipid '!C10:K10</f>
        <v>AD/ATP/648/02</v>
      </c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9"/>
    </row>
    <row r="11" spans="1:14" s="57" customFormat="1" ht="27.9" customHeight="1" x14ac:dyDescent="0.45">
      <c r="A11" s="195" t="s">
        <v>23</v>
      </c>
      <c r="B11" s="225"/>
      <c r="C11" s="227" t="str">
        <f>'Lipid '!C11:K11</f>
        <v>Mayur Kansara</v>
      </c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229"/>
    </row>
    <row r="12" spans="1:14" s="57" customFormat="1" ht="27.9" customHeight="1" x14ac:dyDescent="0.45">
      <c r="A12" s="195" t="s">
        <v>24</v>
      </c>
      <c r="B12" s="225"/>
      <c r="C12" s="227" t="str">
        <f>'Lipid '!C12:K12</f>
        <v>AD/HPLC/006</v>
      </c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9"/>
    </row>
    <row r="13" spans="1:14" s="57" customFormat="1" ht="27.9" customHeight="1" thickBot="1" x14ac:dyDescent="0.5">
      <c r="A13" s="219" t="s">
        <v>25</v>
      </c>
      <c r="B13" s="226"/>
      <c r="C13" s="230">
        <f>'Lipid '!C13:K13</f>
        <v>45621</v>
      </c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2"/>
    </row>
    <row r="14" spans="1:14" ht="17.100000000000001" customHeight="1" thickBot="1" x14ac:dyDescent="0.35">
      <c r="A14" s="30"/>
      <c r="B14" s="31"/>
      <c r="C14" s="31"/>
      <c r="D14" s="31"/>
      <c r="E14" s="31"/>
      <c r="F14" s="9"/>
      <c r="G14" s="10"/>
      <c r="H14" s="32"/>
      <c r="I14" s="32"/>
      <c r="J14" s="32"/>
      <c r="K14" s="32"/>
      <c r="L14" s="31"/>
      <c r="M14" s="31"/>
      <c r="N14" s="117"/>
    </row>
    <row r="15" spans="1:14" ht="39" customHeight="1" thickBot="1" x14ac:dyDescent="0.35">
      <c r="A15" s="200" t="s">
        <v>27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2"/>
    </row>
    <row r="16" spans="1:14" ht="17.100000000000001" customHeight="1" thickBot="1" x14ac:dyDescent="0.35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10"/>
    </row>
    <row r="17" spans="1:14" ht="57" customHeight="1" thickBot="1" x14ac:dyDescent="0.35">
      <c r="A17" s="72" t="s">
        <v>16</v>
      </c>
      <c r="B17" s="73" t="s">
        <v>37</v>
      </c>
      <c r="C17" s="73" t="s">
        <v>15</v>
      </c>
      <c r="D17" s="73" t="s">
        <v>10</v>
      </c>
      <c r="E17" s="73" t="s">
        <v>11</v>
      </c>
      <c r="F17" s="73" t="s">
        <v>41</v>
      </c>
      <c r="G17" s="73" t="s">
        <v>58</v>
      </c>
      <c r="H17" s="131" t="s">
        <v>57</v>
      </c>
      <c r="I17" s="73" t="s">
        <v>59</v>
      </c>
      <c r="J17" s="73" t="s">
        <v>56</v>
      </c>
      <c r="K17" s="73" t="s">
        <v>52</v>
      </c>
      <c r="L17" s="73" t="s">
        <v>53</v>
      </c>
      <c r="M17" s="73" t="s">
        <v>54</v>
      </c>
      <c r="N17" s="74" t="s">
        <v>55</v>
      </c>
    </row>
    <row r="18" spans="1:14" ht="26.1" customHeight="1" x14ac:dyDescent="0.3">
      <c r="A18" s="251" t="str">
        <f>'Lipid '!A39</f>
        <v>EP20_117-299-B</v>
      </c>
      <c r="B18" s="253" t="str">
        <f>'Lipid '!B39</f>
        <v>2-8°C_3M</v>
      </c>
      <c r="C18" s="253" t="str">
        <f>'Lipid '!C39</f>
        <v>Glass Vial</v>
      </c>
      <c r="D18" s="253" t="str">
        <f>'Lipid '!D39</f>
        <v>TRF_068-24-089</v>
      </c>
      <c r="E18" s="253" t="str">
        <f>'Lipid '!E39</f>
        <v>AD/008/24/0701</v>
      </c>
      <c r="F18" s="111" t="s">
        <v>32</v>
      </c>
      <c r="G18" s="97">
        <f>'Lipid '!G39</f>
        <v>2</v>
      </c>
      <c r="H18" s="119">
        <f>'Lipid '!O43</f>
        <v>99.9790012647194</v>
      </c>
      <c r="I18" s="125">
        <f>IFERROR((H18*G18/100), "")</f>
        <v>1.9995800252943881</v>
      </c>
      <c r="J18" s="245">
        <f>IFERROR((SUM(I18:I21)), "")</f>
        <v>15.790644903328726</v>
      </c>
      <c r="K18" s="255">
        <v>99.9</v>
      </c>
      <c r="L18" s="242">
        <v>13.3</v>
      </c>
      <c r="M18" s="245">
        <f>IFERROR((K18*L18/100), "")</f>
        <v>13.286700000000002</v>
      </c>
      <c r="N18" s="248">
        <f>IFERROR((M18/J18), "")</f>
        <v>0.84142858517444818</v>
      </c>
    </row>
    <row r="19" spans="1:14" ht="26.1" customHeight="1" x14ac:dyDescent="0.3">
      <c r="A19" s="233"/>
      <c r="B19" s="234"/>
      <c r="C19" s="234"/>
      <c r="D19" s="234"/>
      <c r="E19" s="234"/>
      <c r="F19" s="107" t="s">
        <v>33</v>
      </c>
      <c r="G19" s="98">
        <f>'Lipid '!G40</f>
        <v>0.9</v>
      </c>
      <c r="H19" s="120">
        <f>'Lipid '!O44</f>
        <v>86.200387942868943</v>
      </c>
      <c r="I19" s="126">
        <f t="shared" ref="I19:I51" si="0">IFERROR((H19*G19/100), "")</f>
        <v>0.7758034914858204</v>
      </c>
      <c r="J19" s="246"/>
      <c r="K19" s="256"/>
      <c r="L19" s="243"/>
      <c r="M19" s="246"/>
      <c r="N19" s="249"/>
    </row>
    <row r="20" spans="1:14" ht="26.1" customHeight="1" x14ac:dyDescent="0.3">
      <c r="A20" s="233"/>
      <c r="B20" s="234"/>
      <c r="C20" s="234"/>
      <c r="D20" s="234"/>
      <c r="E20" s="234"/>
      <c r="F20" s="107" t="s">
        <v>30</v>
      </c>
      <c r="G20" s="98">
        <f>'Lipid '!G41</f>
        <v>4.7</v>
      </c>
      <c r="H20" s="120">
        <f>'Lipid '!O45</f>
        <v>101.77242947915475</v>
      </c>
      <c r="I20" s="126">
        <f t="shared" si="0"/>
        <v>4.783304185520274</v>
      </c>
      <c r="J20" s="246"/>
      <c r="K20" s="256"/>
      <c r="L20" s="243"/>
      <c r="M20" s="246"/>
      <c r="N20" s="249"/>
    </row>
    <row r="21" spans="1:14" ht="26.1" customHeight="1" thickBot="1" x14ac:dyDescent="0.35">
      <c r="A21" s="252"/>
      <c r="B21" s="254"/>
      <c r="C21" s="254"/>
      <c r="D21" s="254"/>
      <c r="E21" s="254"/>
      <c r="F21" s="112" t="s">
        <v>31</v>
      </c>
      <c r="G21" s="99">
        <f>'Lipid '!G42</f>
        <v>8.1999999999999993</v>
      </c>
      <c r="H21" s="121">
        <f>'Lipid '!O46</f>
        <v>100.38972196375907</v>
      </c>
      <c r="I21" s="127">
        <f t="shared" si="0"/>
        <v>8.2319572010282442</v>
      </c>
      <c r="J21" s="247"/>
      <c r="K21" s="257"/>
      <c r="L21" s="244"/>
      <c r="M21" s="247"/>
      <c r="N21" s="250"/>
    </row>
    <row r="22" spans="1:14" ht="7.2" customHeight="1" thickBot="1" x14ac:dyDescent="0.6">
      <c r="A22" s="233"/>
      <c r="B22" s="234"/>
      <c r="C22" s="234"/>
      <c r="D22" s="234"/>
      <c r="E22" s="234"/>
      <c r="F22" s="234"/>
      <c r="G22" s="234"/>
      <c r="H22" s="235"/>
      <c r="I22" s="106"/>
      <c r="J22" s="113"/>
      <c r="K22" s="115"/>
      <c r="L22" s="116"/>
      <c r="M22" s="114"/>
      <c r="N22" s="118"/>
    </row>
    <row r="23" spans="1:14" ht="26.1" customHeight="1" x14ac:dyDescent="0.3">
      <c r="A23" s="236" t="str">
        <f>'Lipid '!A48</f>
        <v>EP20_117-299-C</v>
      </c>
      <c r="B23" s="239" t="str">
        <f>'Lipid '!B48</f>
        <v>2-8°C_3M</v>
      </c>
      <c r="C23" s="239" t="str">
        <f>'Lipid '!C48</f>
        <v>Glass Vial</v>
      </c>
      <c r="D23" s="239" t="str">
        <f>'Lipid '!D48</f>
        <v>TRF_068-24-091</v>
      </c>
      <c r="E23" s="239" t="str">
        <f>'Lipid '!E48</f>
        <v>AD/008/24/0702</v>
      </c>
      <c r="F23" s="128" t="s">
        <v>32</v>
      </c>
      <c r="G23" s="97">
        <f>'Lipid '!G48</f>
        <v>2</v>
      </c>
      <c r="H23" s="119">
        <f>'Lipid '!O52</f>
        <v>97.943713392078806</v>
      </c>
      <c r="I23" s="125">
        <f t="shared" si="0"/>
        <v>1.958874267841576</v>
      </c>
      <c r="J23" s="245">
        <f>IFERROR((SUM(I23:I26)), "")</f>
        <v>15.737111866941977</v>
      </c>
      <c r="K23" s="255">
        <v>97.8</v>
      </c>
      <c r="L23" s="242">
        <v>13.3</v>
      </c>
      <c r="M23" s="245">
        <f>IFERROR((K23*L23/100), "")</f>
        <v>13.007400000000001</v>
      </c>
      <c r="N23" s="248">
        <f>IFERROR((M23/J23), "")</f>
        <v>0.82654302199655061</v>
      </c>
    </row>
    <row r="24" spans="1:14" ht="26.1" customHeight="1" x14ac:dyDescent="0.3">
      <c r="A24" s="237"/>
      <c r="B24" s="240"/>
      <c r="C24" s="240"/>
      <c r="D24" s="240"/>
      <c r="E24" s="240"/>
      <c r="F24" s="129" t="s">
        <v>33</v>
      </c>
      <c r="G24" s="98">
        <f>'Lipid '!G49</f>
        <v>0.9</v>
      </c>
      <c r="H24" s="120">
        <f>'Lipid '!O53</f>
        <v>93.976130366649542</v>
      </c>
      <c r="I24" s="126">
        <f t="shared" si="0"/>
        <v>0.84578517329984593</v>
      </c>
      <c r="J24" s="246"/>
      <c r="K24" s="256"/>
      <c r="L24" s="243"/>
      <c r="M24" s="246"/>
      <c r="N24" s="249"/>
    </row>
    <row r="25" spans="1:14" ht="26.1" customHeight="1" x14ac:dyDescent="0.3">
      <c r="A25" s="237"/>
      <c r="B25" s="240"/>
      <c r="C25" s="240"/>
      <c r="D25" s="240"/>
      <c r="E25" s="240"/>
      <c r="F25" s="129" t="s">
        <v>30</v>
      </c>
      <c r="G25" s="98">
        <f>'Lipid '!G50</f>
        <v>4.7</v>
      </c>
      <c r="H25" s="120">
        <f>'Lipid '!O54</f>
        <v>101.39318620215062</v>
      </c>
      <c r="I25" s="126">
        <f t="shared" si="0"/>
        <v>4.7654797515010792</v>
      </c>
      <c r="J25" s="246"/>
      <c r="K25" s="256"/>
      <c r="L25" s="243"/>
      <c r="M25" s="246"/>
      <c r="N25" s="249"/>
    </row>
    <row r="26" spans="1:14" ht="26.1" customHeight="1" thickBot="1" x14ac:dyDescent="0.35">
      <c r="A26" s="238"/>
      <c r="B26" s="241"/>
      <c r="C26" s="241"/>
      <c r="D26" s="241"/>
      <c r="E26" s="241"/>
      <c r="F26" s="130" t="s">
        <v>31</v>
      </c>
      <c r="G26" s="99">
        <f>'Lipid '!G51</f>
        <v>8.1999999999999993</v>
      </c>
      <c r="H26" s="121">
        <f>'Lipid '!O55</f>
        <v>99.597227735359454</v>
      </c>
      <c r="I26" s="127">
        <f t="shared" si="0"/>
        <v>8.1669726742994744</v>
      </c>
      <c r="J26" s="247"/>
      <c r="K26" s="257"/>
      <c r="L26" s="244"/>
      <c r="M26" s="247"/>
      <c r="N26" s="250"/>
    </row>
    <row r="27" spans="1:14" ht="8.4" customHeight="1" thickBot="1" x14ac:dyDescent="0.6">
      <c r="A27" s="233"/>
      <c r="B27" s="234"/>
      <c r="C27" s="234"/>
      <c r="D27" s="234"/>
      <c r="E27" s="234"/>
      <c r="F27" s="234"/>
      <c r="G27" s="234"/>
      <c r="H27" s="235"/>
      <c r="I27" s="106"/>
      <c r="J27" s="113"/>
      <c r="K27" s="115"/>
      <c r="L27" s="116"/>
      <c r="M27" s="114"/>
      <c r="N27" s="118"/>
    </row>
    <row r="28" spans="1:14" ht="26.1" customHeight="1" x14ac:dyDescent="0.3">
      <c r="A28" s="236" t="str">
        <f>'Lipid '!A57</f>
        <v>EP20_117-299-A</v>
      </c>
      <c r="B28" s="239" t="str">
        <f>'Lipid '!B57</f>
        <v>2-8°C_3M</v>
      </c>
      <c r="C28" s="239" t="str">
        <f>'Lipid '!C57</f>
        <v>Glass Vial</v>
      </c>
      <c r="D28" s="239" t="str">
        <f>'Lipid '!D57</f>
        <v>TRF_068-24-088</v>
      </c>
      <c r="E28" s="239" t="str">
        <f>'Lipid '!E57</f>
        <v>AD/008/24/0700</v>
      </c>
      <c r="F28" s="128" t="s">
        <v>32</v>
      </c>
      <c r="G28" s="97">
        <f>'Lipid '!G57</f>
        <v>2</v>
      </c>
      <c r="H28" s="119">
        <f>'Lipid '!O61</f>
        <v>100.21935503339714</v>
      </c>
      <c r="I28" s="125">
        <f t="shared" si="0"/>
        <v>2.0043871006679428</v>
      </c>
      <c r="J28" s="245">
        <f>IFERROR((SUM(I28:I31)), "")</f>
        <v>15.622035475650119</v>
      </c>
      <c r="K28" s="255">
        <v>100.3</v>
      </c>
      <c r="L28" s="242">
        <v>13.3</v>
      </c>
      <c r="M28" s="245">
        <f>IFERROR((K28*L28/100), "")</f>
        <v>13.3399</v>
      </c>
      <c r="N28" s="248">
        <f>IFERROR((M28/J28), "")</f>
        <v>0.85391561303216501</v>
      </c>
    </row>
    <row r="29" spans="1:14" ht="26.1" customHeight="1" x14ac:dyDescent="0.3">
      <c r="A29" s="237"/>
      <c r="B29" s="240"/>
      <c r="C29" s="240"/>
      <c r="D29" s="240"/>
      <c r="E29" s="240"/>
      <c r="F29" s="129" t="s">
        <v>33</v>
      </c>
      <c r="G29" s="98">
        <f>'Lipid '!G58</f>
        <v>0.9</v>
      </c>
      <c r="H29" s="120">
        <f>'Lipid '!O62</f>
        <v>84.074192037505327</v>
      </c>
      <c r="I29" s="126">
        <f t="shared" si="0"/>
        <v>0.75666772833754792</v>
      </c>
      <c r="J29" s="246"/>
      <c r="K29" s="256"/>
      <c r="L29" s="243"/>
      <c r="M29" s="246"/>
      <c r="N29" s="249"/>
    </row>
    <row r="30" spans="1:14" ht="26.1" customHeight="1" x14ac:dyDescent="0.3">
      <c r="A30" s="237"/>
      <c r="B30" s="240"/>
      <c r="C30" s="240"/>
      <c r="D30" s="240"/>
      <c r="E30" s="240"/>
      <c r="F30" s="129" t="s">
        <v>30</v>
      </c>
      <c r="G30" s="98">
        <f>'Lipid '!G59</f>
        <v>4.7</v>
      </c>
      <c r="H30" s="120">
        <f>'Lipid '!O63</f>
        <v>101.80778609296407</v>
      </c>
      <c r="I30" s="126">
        <f t="shared" si="0"/>
        <v>4.7849659463693115</v>
      </c>
      <c r="J30" s="246"/>
      <c r="K30" s="256"/>
      <c r="L30" s="243"/>
      <c r="M30" s="246"/>
      <c r="N30" s="249"/>
    </row>
    <row r="31" spans="1:14" ht="26.1" customHeight="1" thickBot="1" x14ac:dyDescent="0.35">
      <c r="A31" s="238"/>
      <c r="B31" s="241"/>
      <c r="C31" s="241"/>
      <c r="D31" s="241"/>
      <c r="E31" s="241"/>
      <c r="F31" s="130" t="s">
        <v>31</v>
      </c>
      <c r="G31" s="99">
        <f>'Lipid '!G60</f>
        <v>8.1999999999999993</v>
      </c>
      <c r="H31" s="121">
        <f>'Lipid '!O64</f>
        <v>98.487984149699003</v>
      </c>
      <c r="I31" s="127">
        <f t="shared" si="0"/>
        <v>8.0760147002753175</v>
      </c>
      <c r="J31" s="247"/>
      <c r="K31" s="257"/>
      <c r="L31" s="244"/>
      <c r="M31" s="247"/>
      <c r="N31" s="250"/>
    </row>
    <row r="32" spans="1:14" ht="7.2" customHeight="1" thickBot="1" x14ac:dyDescent="0.6">
      <c r="A32" s="233"/>
      <c r="B32" s="234"/>
      <c r="C32" s="234"/>
      <c r="D32" s="234"/>
      <c r="E32" s="234"/>
      <c r="F32" s="234"/>
      <c r="G32" s="234"/>
      <c r="H32" s="235"/>
      <c r="I32" s="106"/>
      <c r="J32" s="113"/>
      <c r="K32" s="115"/>
      <c r="L32" s="116"/>
      <c r="M32" s="114"/>
      <c r="N32" s="118"/>
    </row>
    <row r="33" spans="1:14" ht="26.1" customHeight="1" x14ac:dyDescent="0.3">
      <c r="A33" s="251">
        <f>'Lipid '!A66</f>
        <v>0</v>
      </c>
      <c r="B33" s="239">
        <f>'Lipid '!B66</f>
        <v>0</v>
      </c>
      <c r="C33" s="239">
        <f>'Lipid '!C66</f>
        <v>0</v>
      </c>
      <c r="D33" s="239">
        <f>'Lipid '!D66</f>
        <v>0</v>
      </c>
      <c r="E33" s="258">
        <f>'Lipid '!E66</f>
        <v>0</v>
      </c>
      <c r="F33" s="111" t="s">
        <v>32</v>
      </c>
      <c r="G33" s="97">
        <f>'Lipid '!G66</f>
        <v>0</v>
      </c>
      <c r="H33" s="119" t="str">
        <f>'Lipid '!O70</f>
        <v/>
      </c>
      <c r="I33" s="125" t="str">
        <f t="shared" si="0"/>
        <v/>
      </c>
      <c r="J33" s="245">
        <f>IFERROR((SUM(I33:I36)), "")</f>
        <v>0</v>
      </c>
      <c r="K33" s="255"/>
      <c r="L33" s="242">
        <v>13.3</v>
      </c>
      <c r="M33" s="245">
        <f>IFERROR((K33*L33/100), "")</f>
        <v>0</v>
      </c>
      <c r="N33" s="248" t="str">
        <f>IFERROR((M33/J33), "")</f>
        <v/>
      </c>
    </row>
    <row r="34" spans="1:14" ht="26.1" customHeight="1" x14ac:dyDescent="0.3">
      <c r="A34" s="233"/>
      <c r="B34" s="240"/>
      <c r="C34" s="240"/>
      <c r="D34" s="240"/>
      <c r="E34" s="259"/>
      <c r="F34" s="107" t="s">
        <v>33</v>
      </c>
      <c r="G34" s="98">
        <f>'Lipid '!G67</f>
        <v>0</v>
      </c>
      <c r="H34" s="120" t="str">
        <f>'Lipid '!O71</f>
        <v/>
      </c>
      <c r="I34" s="126" t="str">
        <f t="shared" si="0"/>
        <v/>
      </c>
      <c r="J34" s="246"/>
      <c r="K34" s="256"/>
      <c r="L34" s="243"/>
      <c r="M34" s="246"/>
      <c r="N34" s="249"/>
    </row>
    <row r="35" spans="1:14" ht="26.1" customHeight="1" x14ac:dyDescent="0.3">
      <c r="A35" s="233"/>
      <c r="B35" s="240"/>
      <c r="C35" s="240"/>
      <c r="D35" s="240"/>
      <c r="E35" s="259"/>
      <c r="F35" s="107" t="s">
        <v>30</v>
      </c>
      <c r="G35" s="98">
        <f>'Lipid '!G68</f>
        <v>0</v>
      </c>
      <c r="H35" s="120" t="str">
        <f>'Lipid '!O72</f>
        <v/>
      </c>
      <c r="I35" s="126" t="str">
        <f t="shared" si="0"/>
        <v/>
      </c>
      <c r="J35" s="246"/>
      <c r="K35" s="256"/>
      <c r="L35" s="243"/>
      <c r="M35" s="246"/>
      <c r="N35" s="249"/>
    </row>
    <row r="36" spans="1:14" ht="26.1" customHeight="1" thickBot="1" x14ac:dyDescent="0.35">
      <c r="A36" s="252"/>
      <c r="B36" s="241"/>
      <c r="C36" s="241"/>
      <c r="D36" s="241"/>
      <c r="E36" s="260"/>
      <c r="F36" s="112" t="s">
        <v>31</v>
      </c>
      <c r="G36" s="99">
        <f>'Lipid '!G69</f>
        <v>0</v>
      </c>
      <c r="H36" s="121" t="str">
        <f>'Lipid '!O73</f>
        <v/>
      </c>
      <c r="I36" s="127" t="str">
        <f t="shared" si="0"/>
        <v/>
      </c>
      <c r="J36" s="247"/>
      <c r="K36" s="257"/>
      <c r="L36" s="244"/>
      <c r="M36" s="247"/>
      <c r="N36" s="250"/>
    </row>
    <row r="37" spans="1:14" ht="7.2" customHeight="1" thickBot="1" x14ac:dyDescent="0.6">
      <c r="A37" s="233"/>
      <c r="B37" s="234"/>
      <c r="C37" s="234"/>
      <c r="D37" s="234"/>
      <c r="E37" s="234"/>
      <c r="F37" s="234"/>
      <c r="G37" s="234"/>
      <c r="H37" s="235"/>
      <c r="I37" s="106"/>
      <c r="J37" s="113"/>
      <c r="K37" s="115"/>
      <c r="L37" s="116"/>
      <c r="M37" s="114"/>
      <c r="N37" s="118"/>
    </row>
    <row r="38" spans="1:14" ht="26.1" customHeight="1" x14ac:dyDescent="0.3">
      <c r="A38" s="251">
        <f>'Lipid '!A75</f>
        <v>0</v>
      </c>
      <c r="B38" s="258">
        <f>'Lipid '!B75</f>
        <v>0</v>
      </c>
      <c r="C38" s="258">
        <f>'Lipid '!C75</f>
        <v>0</v>
      </c>
      <c r="D38" s="239">
        <f>'Lipid '!D75</f>
        <v>0</v>
      </c>
      <c r="E38" s="239">
        <f>'Lipid '!E75</f>
        <v>0</v>
      </c>
      <c r="F38" s="128" t="s">
        <v>32</v>
      </c>
      <c r="G38" s="97">
        <f>'Lipid '!G75</f>
        <v>0</v>
      </c>
      <c r="H38" s="119" t="str">
        <f>'Lipid '!O79</f>
        <v/>
      </c>
      <c r="I38" s="125" t="str">
        <f t="shared" si="0"/>
        <v/>
      </c>
      <c r="J38" s="245">
        <f>IFERROR((SUM(I38:I41)), "")</f>
        <v>0</v>
      </c>
      <c r="K38" s="255"/>
      <c r="L38" s="242">
        <v>13.3</v>
      </c>
      <c r="M38" s="245">
        <f>IFERROR((K38*L38/100), "")</f>
        <v>0</v>
      </c>
      <c r="N38" s="248" t="str">
        <f>IFERROR((M38/J38), "")</f>
        <v/>
      </c>
    </row>
    <row r="39" spans="1:14" ht="26.1" customHeight="1" x14ac:dyDescent="0.3">
      <c r="A39" s="233"/>
      <c r="B39" s="259"/>
      <c r="C39" s="259"/>
      <c r="D39" s="240"/>
      <c r="E39" s="240"/>
      <c r="F39" s="129" t="s">
        <v>33</v>
      </c>
      <c r="G39" s="98">
        <f>'Lipid '!G76</f>
        <v>0</v>
      </c>
      <c r="H39" s="120" t="str">
        <f>'Lipid '!O80</f>
        <v/>
      </c>
      <c r="I39" s="126" t="str">
        <f t="shared" si="0"/>
        <v/>
      </c>
      <c r="J39" s="246"/>
      <c r="K39" s="256"/>
      <c r="L39" s="243"/>
      <c r="M39" s="246"/>
      <c r="N39" s="249"/>
    </row>
    <row r="40" spans="1:14" ht="26.1" customHeight="1" x14ac:dyDescent="0.3">
      <c r="A40" s="233"/>
      <c r="B40" s="259"/>
      <c r="C40" s="259"/>
      <c r="D40" s="240"/>
      <c r="E40" s="240"/>
      <c r="F40" s="129" t="s">
        <v>30</v>
      </c>
      <c r="G40" s="98">
        <f>'Lipid '!G77</f>
        <v>0</v>
      </c>
      <c r="H40" s="120" t="str">
        <f>'Lipid '!O81</f>
        <v/>
      </c>
      <c r="I40" s="126" t="str">
        <f t="shared" si="0"/>
        <v/>
      </c>
      <c r="J40" s="246"/>
      <c r="K40" s="256"/>
      <c r="L40" s="243"/>
      <c r="M40" s="246"/>
      <c r="N40" s="249"/>
    </row>
    <row r="41" spans="1:14" ht="26.1" customHeight="1" thickBot="1" x14ac:dyDescent="0.35">
      <c r="A41" s="252"/>
      <c r="B41" s="260"/>
      <c r="C41" s="260"/>
      <c r="D41" s="241"/>
      <c r="E41" s="241"/>
      <c r="F41" s="130" t="s">
        <v>31</v>
      </c>
      <c r="G41" s="99">
        <f>'Lipid '!G78</f>
        <v>0</v>
      </c>
      <c r="H41" s="121" t="str">
        <f>'Lipid '!O82</f>
        <v/>
      </c>
      <c r="I41" s="127" t="str">
        <f t="shared" si="0"/>
        <v/>
      </c>
      <c r="J41" s="247"/>
      <c r="K41" s="257"/>
      <c r="L41" s="244"/>
      <c r="M41" s="247"/>
      <c r="N41" s="250"/>
    </row>
    <row r="42" spans="1:14" ht="7.2" customHeight="1" thickBot="1" x14ac:dyDescent="0.6">
      <c r="A42" s="233"/>
      <c r="B42" s="234"/>
      <c r="C42" s="234"/>
      <c r="D42" s="234"/>
      <c r="E42" s="234"/>
      <c r="F42" s="234"/>
      <c r="G42" s="234"/>
      <c r="H42" s="235"/>
      <c r="I42" s="106"/>
      <c r="J42" s="113"/>
      <c r="K42" s="115"/>
      <c r="L42" s="116"/>
      <c r="M42" s="114"/>
      <c r="N42" s="118"/>
    </row>
    <row r="43" spans="1:14" ht="26.1" customHeight="1" x14ac:dyDescent="0.3">
      <c r="A43" s="261">
        <f>'Lipid '!A84</f>
        <v>0</v>
      </c>
      <c r="B43" s="239">
        <f>'Lipid '!B84</f>
        <v>0</v>
      </c>
      <c r="C43" s="239">
        <f>'Lipid '!C84</f>
        <v>0</v>
      </c>
      <c r="D43" s="239">
        <f>'Lipid '!D84</f>
        <v>0</v>
      </c>
      <c r="E43" s="239">
        <f>'Lipid '!E84</f>
        <v>0</v>
      </c>
      <c r="F43" s="128" t="s">
        <v>32</v>
      </c>
      <c r="G43" s="97">
        <f>'Lipid '!G84</f>
        <v>0</v>
      </c>
      <c r="H43" s="119" t="str">
        <f>'Lipid '!O88</f>
        <v/>
      </c>
      <c r="I43" s="125" t="str">
        <f t="shared" si="0"/>
        <v/>
      </c>
      <c r="J43" s="245">
        <f>IFERROR((SUM(I43:I46)), "")</f>
        <v>0</v>
      </c>
      <c r="K43" s="255"/>
      <c r="L43" s="242">
        <v>13.3</v>
      </c>
      <c r="M43" s="245">
        <f>IFERROR((K43*L43/100), "")</f>
        <v>0</v>
      </c>
      <c r="N43" s="248" t="str">
        <f>IFERROR((M43/J43), "")</f>
        <v/>
      </c>
    </row>
    <row r="44" spans="1:14" ht="26.1" customHeight="1" x14ac:dyDescent="0.3">
      <c r="A44" s="216"/>
      <c r="B44" s="240"/>
      <c r="C44" s="240"/>
      <c r="D44" s="240"/>
      <c r="E44" s="240"/>
      <c r="F44" s="129" t="s">
        <v>33</v>
      </c>
      <c r="G44" s="98">
        <f>'Lipid '!G85</f>
        <v>0</v>
      </c>
      <c r="H44" s="120" t="str">
        <f>'Lipid '!O89</f>
        <v/>
      </c>
      <c r="I44" s="126" t="str">
        <f t="shared" si="0"/>
        <v/>
      </c>
      <c r="J44" s="246"/>
      <c r="K44" s="256"/>
      <c r="L44" s="243"/>
      <c r="M44" s="246"/>
      <c r="N44" s="249"/>
    </row>
    <row r="45" spans="1:14" ht="26.1" customHeight="1" x14ac:dyDescent="0.3">
      <c r="A45" s="216"/>
      <c r="B45" s="240"/>
      <c r="C45" s="240"/>
      <c r="D45" s="240"/>
      <c r="E45" s="240"/>
      <c r="F45" s="129" t="s">
        <v>30</v>
      </c>
      <c r="G45" s="98">
        <f>'Lipid '!G86</f>
        <v>0</v>
      </c>
      <c r="H45" s="120" t="str">
        <f>'Lipid '!O90</f>
        <v/>
      </c>
      <c r="I45" s="126" t="str">
        <f t="shared" si="0"/>
        <v/>
      </c>
      <c r="J45" s="246"/>
      <c r="K45" s="256"/>
      <c r="L45" s="243"/>
      <c r="M45" s="246"/>
      <c r="N45" s="249"/>
    </row>
    <row r="46" spans="1:14" ht="26.1" customHeight="1" thickBot="1" x14ac:dyDescent="0.35">
      <c r="A46" s="262"/>
      <c r="B46" s="241"/>
      <c r="C46" s="241"/>
      <c r="D46" s="241"/>
      <c r="E46" s="241"/>
      <c r="F46" s="130" t="s">
        <v>31</v>
      </c>
      <c r="G46" s="99">
        <f>'Lipid '!G87</f>
        <v>0</v>
      </c>
      <c r="H46" s="121" t="str">
        <f>'Lipid '!O91</f>
        <v/>
      </c>
      <c r="I46" s="127" t="str">
        <f t="shared" si="0"/>
        <v/>
      </c>
      <c r="J46" s="247"/>
      <c r="K46" s="257"/>
      <c r="L46" s="244"/>
      <c r="M46" s="247"/>
      <c r="N46" s="250"/>
    </row>
    <row r="47" spans="1:14" ht="7.2" customHeight="1" thickBot="1" x14ac:dyDescent="0.6">
      <c r="A47" s="233"/>
      <c r="B47" s="234"/>
      <c r="C47" s="234"/>
      <c r="D47" s="234"/>
      <c r="E47" s="234"/>
      <c r="F47" s="234"/>
      <c r="G47" s="234"/>
      <c r="H47" s="235"/>
      <c r="I47" s="106"/>
      <c r="J47" s="113"/>
      <c r="K47" s="115"/>
      <c r="L47" s="116"/>
      <c r="M47" s="114"/>
      <c r="N47" s="118"/>
    </row>
    <row r="48" spans="1:14" ht="26.1" customHeight="1" x14ac:dyDescent="0.3">
      <c r="A48" s="251">
        <f>'Lipid '!A93</f>
        <v>0</v>
      </c>
      <c r="B48" s="258">
        <f>'Lipid '!B93</f>
        <v>0</v>
      </c>
      <c r="C48" s="258">
        <f>'Lipid '!C93</f>
        <v>0</v>
      </c>
      <c r="D48" s="258">
        <f>'Lipid '!D93</f>
        <v>0</v>
      </c>
      <c r="E48" s="258">
        <f>'Lipid '!E93</f>
        <v>0</v>
      </c>
      <c r="F48" s="111" t="s">
        <v>32</v>
      </c>
      <c r="G48" s="97">
        <f>'Lipid '!G93</f>
        <v>0</v>
      </c>
      <c r="H48" s="122" t="str">
        <f>'Lipid '!O97</f>
        <v/>
      </c>
      <c r="I48" s="125" t="str">
        <f t="shared" si="0"/>
        <v/>
      </c>
      <c r="J48" s="245">
        <f>IFERROR((SUM(I48:I51)), "")</f>
        <v>0</v>
      </c>
      <c r="K48" s="255"/>
      <c r="L48" s="242">
        <v>13.3</v>
      </c>
      <c r="M48" s="245">
        <f>IFERROR((K48*L48/100), "")</f>
        <v>0</v>
      </c>
      <c r="N48" s="248" t="str">
        <f>IFERROR((M48/J48), "")</f>
        <v/>
      </c>
    </row>
    <row r="49" spans="1:14" ht="26.1" customHeight="1" x14ac:dyDescent="0.3">
      <c r="A49" s="233"/>
      <c r="B49" s="259"/>
      <c r="C49" s="259"/>
      <c r="D49" s="259"/>
      <c r="E49" s="259"/>
      <c r="F49" s="107" t="s">
        <v>33</v>
      </c>
      <c r="G49" s="98">
        <f>'Lipid '!G94</f>
        <v>0</v>
      </c>
      <c r="H49" s="123" t="str">
        <f>'Lipid '!O98</f>
        <v/>
      </c>
      <c r="I49" s="126" t="str">
        <f t="shared" si="0"/>
        <v/>
      </c>
      <c r="J49" s="246"/>
      <c r="K49" s="256"/>
      <c r="L49" s="243"/>
      <c r="M49" s="246"/>
      <c r="N49" s="249"/>
    </row>
    <row r="50" spans="1:14" ht="26.1" customHeight="1" x14ac:dyDescent="0.3">
      <c r="A50" s="233"/>
      <c r="B50" s="259"/>
      <c r="C50" s="259"/>
      <c r="D50" s="259"/>
      <c r="E50" s="259"/>
      <c r="F50" s="107" t="s">
        <v>30</v>
      </c>
      <c r="G50" s="98">
        <f>'Lipid '!G95</f>
        <v>0</v>
      </c>
      <c r="H50" s="123" t="str">
        <f>'Lipid '!O99</f>
        <v/>
      </c>
      <c r="I50" s="126" t="str">
        <f t="shared" si="0"/>
        <v/>
      </c>
      <c r="J50" s="246"/>
      <c r="K50" s="256"/>
      <c r="L50" s="243"/>
      <c r="M50" s="246"/>
      <c r="N50" s="249"/>
    </row>
    <row r="51" spans="1:14" ht="26.1" customHeight="1" thickBot="1" x14ac:dyDescent="0.35">
      <c r="A51" s="252"/>
      <c r="B51" s="260"/>
      <c r="C51" s="260"/>
      <c r="D51" s="260"/>
      <c r="E51" s="260"/>
      <c r="F51" s="112" t="s">
        <v>31</v>
      </c>
      <c r="G51" s="99">
        <f>'Lipid '!G96</f>
        <v>0</v>
      </c>
      <c r="H51" s="124" t="str">
        <f>'Lipid '!O100</f>
        <v/>
      </c>
      <c r="I51" s="127" t="str">
        <f t="shared" si="0"/>
        <v/>
      </c>
      <c r="J51" s="247"/>
      <c r="K51" s="257"/>
      <c r="L51" s="244"/>
      <c r="M51" s="247"/>
      <c r="N51" s="250"/>
    </row>
    <row r="52" spans="1:14" ht="17.100000000000001" customHeight="1" thickBot="1" x14ac:dyDescent="0.35">
      <c r="A52" s="30"/>
      <c r="B52" s="31"/>
      <c r="C52" s="31"/>
      <c r="D52" s="31"/>
      <c r="E52" s="31"/>
      <c r="F52" s="31"/>
      <c r="G52" s="32"/>
      <c r="H52" s="32"/>
      <c r="I52" s="32"/>
      <c r="J52" s="32"/>
      <c r="K52" s="32"/>
      <c r="L52" s="31"/>
      <c r="M52" s="31"/>
      <c r="N52" s="117"/>
    </row>
    <row r="53" spans="1:14" ht="17.100000000000001" customHeight="1" x14ac:dyDescent="0.3">
      <c r="A53" s="171" t="s">
        <v>14</v>
      </c>
      <c r="B53" s="174"/>
      <c r="C53" s="175"/>
      <c r="D53" s="176"/>
      <c r="E53" s="17"/>
      <c r="F53" s="17"/>
      <c r="G53" s="32"/>
      <c r="H53" s="187"/>
      <c r="I53" s="104"/>
      <c r="J53" s="104"/>
      <c r="K53" s="171" t="s">
        <v>13</v>
      </c>
      <c r="L53" s="174"/>
      <c r="M53" s="175"/>
      <c r="N53" s="176"/>
    </row>
    <row r="54" spans="1:14" ht="17.100000000000001" customHeight="1" x14ac:dyDescent="0.3">
      <c r="A54" s="172"/>
      <c r="B54" s="177"/>
      <c r="C54" s="178"/>
      <c r="D54" s="179"/>
      <c r="E54" s="17"/>
      <c r="F54" s="17"/>
      <c r="G54" s="32"/>
      <c r="H54" s="187"/>
      <c r="I54" s="104"/>
      <c r="J54" s="104"/>
      <c r="K54" s="172"/>
      <c r="L54" s="177"/>
      <c r="M54" s="178"/>
      <c r="N54" s="179"/>
    </row>
    <row r="55" spans="1:14" ht="17.100000000000001" customHeight="1" x14ac:dyDescent="0.3">
      <c r="A55" s="172"/>
      <c r="B55" s="177"/>
      <c r="C55" s="178"/>
      <c r="D55" s="179"/>
      <c r="E55" s="17"/>
      <c r="F55" s="17"/>
      <c r="G55" s="32"/>
      <c r="H55" s="187"/>
      <c r="I55" s="104"/>
      <c r="J55" s="104"/>
      <c r="K55" s="172"/>
      <c r="L55" s="177"/>
      <c r="M55" s="178"/>
      <c r="N55" s="179"/>
    </row>
    <row r="56" spans="1:14" ht="17.100000000000001" customHeight="1" thickBot="1" x14ac:dyDescent="0.35">
      <c r="A56" s="173"/>
      <c r="B56" s="180"/>
      <c r="C56" s="181"/>
      <c r="D56" s="182"/>
      <c r="E56" s="19"/>
      <c r="F56" s="19"/>
      <c r="G56" s="43"/>
      <c r="H56" s="190"/>
      <c r="I56" s="105"/>
      <c r="J56" s="105"/>
      <c r="K56" s="173"/>
      <c r="L56" s="180"/>
      <c r="M56" s="181"/>
      <c r="N56" s="182"/>
    </row>
    <row r="57" spans="1:14" ht="17.100000000000001" customHeight="1" x14ac:dyDescent="0.3">
      <c r="D57" s="6"/>
      <c r="E57" s="7"/>
      <c r="F57" s="7"/>
      <c r="G57" s="32"/>
      <c r="H57" s="32"/>
    </row>
    <row r="58" spans="1:14" ht="17.100000000000001" customHeight="1" x14ac:dyDescent="0.3">
      <c r="D58" s="6"/>
      <c r="E58" s="7"/>
      <c r="F58" s="7"/>
    </row>
  </sheetData>
  <mergeCells count="101">
    <mergeCell ref="A15:N15"/>
    <mergeCell ref="K53:K56"/>
    <mergeCell ref="L53:N56"/>
    <mergeCell ref="N48:N51"/>
    <mergeCell ref="A1:N2"/>
    <mergeCell ref="A3:N3"/>
    <mergeCell ref="A4:N4"/>
    <mergeCell ref="A5:N5"/>
    <mergeCell ref="A6:N6"/>
    <mergeCell ref="C7:N7"/>
    <mergeCell ref="C8:N8"/>
    <mergeCell ref="C9:N9"/>
    <mergeCell ref="C10:N10"/>
    <mergeCell ref="J18:J21"/>
    <mergeCell ref="J23:J26"/>
    <mergeCell ref="L23:L26"/>
    <mergeCell ref="M23:M26"/>
    <mergeCell ref="N23:N26"/>
    <mergeCell ref="J28:J31"/>
    <mergeCell ref="L28:L31"/>
    <mergeCell ref="M28:M31"/>
    <mergeCell ref="N28:N31"/>
    <mergeCell ref="A53:A56"/>
    <mergeCell ref="B53:D56"/>
    <mergeCell ref="H53:H56"/>
    <mergeCell ref="K23:K26"/>
    <mergeCell ref="K28:K31"/>
    <mergeCell ref="K33:K36"/>
    <mergeCell ref="K38:K41"/>
    <mergeCell ref="K48:K51"/>
    <mergeCell ref="J33:J36"/>
    <mergeCell ref="J48:J51"/>
    <mergeCell ref="L48:L51"/>
    <mergeCell ref="A42:H42"/>
    <mergeCell ref="J38:J41"/>
    <mergeCell ref="L38:L41"/>
    <mergeCell ref="A27:H27"/>
    <mergeCell ref="A28:A31"/>
    <mergeCell ref="B28:B31"/>
    <mergeCell ref="C28:C31"/>
    <mergeCell ref="D28:D31"/>
    <mergeCell ref="E28:E31"/>
    <mergeCell ref="M48:M51"/>
    <mergeCell ref="A47:H47"/>
    <mergeCell ref="A48:A51"/>
    <mergeCell ref="B48:B51"/>
    <mergeCell ref="C48:C51"/>
    <mergeCell ref="D48:D51"/>
    <mergeCell ref="E48:E51"/>
    <mergeCell ref="J43:J46"/>
    <mergeCell ref="K43:K46"/>
    <mergeCell ref="L43:L46"/>
    <mergeCell ref="A43:A46"/>
    <mergeCell ref="B43:B46"/>
    <mergeCell ref="C43:C46"/>
    <mergeCell ref="D43:D46"/>
    <mergeCell ref="E43:E46"/>
    <mergeCell ref="N33:N36"/>
    <mergeCell ref="A32:H32"/>
    <mergeCell ref="A33:A36"/>
    <mergeCell ref="B33:B36"/>
    <mergeCell ref="C33:C36"/>
    <mergeCell ref="D33:D36"/>
    <mergeCell ref="E33:E36"/>
    <mergeCell ref="N38:N41"/>
    <mergeCell ref="M43:M46"/>
    <mergeCell ref="N43:N46"/>
    <mergeCell ref="M38:M41"/>
    <mergeCell ref="A37:H37"/>
    <mergeCell ref="A38:A41"/>
    <mergeCell ref="B38:B41"/>
    <mergeCell ref="C38:C41"/>
    <mergeCell ref="D38:D41"/>
    <mergeCell ref="E38:E41"/>
    <mergeCell ref="L33:L36"/>
    <mergeCell ref="M33:M36"/>
    <mergeCell ref="A22:H22"/>
    <mergeCell ref="A23:A26"/>
    <mergeCell ref="B23:B26"/>
    <mergeCell ref="C23:C26"/>
    <mergeCell ref="D23:D26"/>
    <mergeCell ref="E23:E26"/>
    <mergeCell ref="L18:L21"/>
    <mergeCell ref="M18:M21"/>
    <mergeCell ref="N18:N21"/>
    <mergeCell ref="A18:A21"/>
    <mergeCell ref="B18:B21"/>
    <mergeCell ref="C18:C21"/>
    <mergeCell ref="D18:D21"/>
    <mergeCell ref="E18:E21"/>
    <mergeCell ref="K18:K21"/>
    <mergeCell ref="A7:B7"/>
    <mergeCell ref="A11:B11"/>
    <mergeCell ref="A12:B12"/>
    <mergeCell ref="A13:B13"/>
    <mergeCell ref="C11:N11"/>
    <mergeCell ref="C12:N12"/>
    <mergeCell ref="C13:N13"/>
    <mergeCell ref="A8:B8"/>
    <mergeCell ref="A9:B9"/>
    <mergeCell ref="A10:B10"/>
  </mergeCells>
  <printOptions horizontalCentered="1"/>
  <pageMargins left="7.874015748031496E-2" right="0.19685039370078741" top="0.19685039370078741" bottom="0.19685039370078741" header="0" footer="0"/>
  <pageSetup paperSize="9" scale="39" fitToHeight="2" orientation="landscape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Lipid </vt:lpstr>
      <vt:lpstr>Drug to Lipid ratio Auto Calc</vt:lpstr>
      <vt:lpstr>'Drug to Lipid ratio Auto Calc'!Print_Area</vt:lpstr>
      <vt:lpstr>'Lipid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2026-06-24T10:23:33Z</dcterms:modified>
</cp:coreProperties>
</file>