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defaultThemeVersion="124226"/>
  <xr:revisionPtr revIDLastSave="0" documentId="13_ncr:1_{CDD53926-902B-4A21-BCA3-684E4C9A0C68}" xr6:coauthVersionLast="36" xr6:coauthVersionMax="36" xr10:uidLastSave="{00000000-0000-0000-0000-000000000000}"/>
  <bookViews>
    <workbookView xWindow="0" yWindow="0" windowWidth="23040" windowHeight="9204" tabRatio="702" xr2:uid="{00000000-000D-0000-FFFF-FFFF00000000}"/>
  </bookViews>
  <sheets>
    <sheet name="1" sheetId="59" r:id="rId1"/>
  </sheets>
  <definedNames>
    <definedName name="_xlnm.Print_Area" localSheetId="0">'1'!$A$1:$R$64</definedName>
  </definedNames>
  <calcPr calcId="191029"/>
</workbook>
</file>

<file path=xl/calcChain.xml><?xml version="1.0" encoding="utf-8"?>
<calcChain xmlns="http://schemas.openxmlformats.org/spreadsheetml/2006/main">
  <c r="B16" i="59" l="1"/>
  <c r="L14" i="59" l="1"/>
  <c r="N57" i="59" l="1"/>
  <c r="N55" i="59"/>
  <c r="N53" i="59"/>
  <c r="Q53" i="59" s="1"/>
  <c r="N51" i="59"/>
  <c r="I25" i="59"/>
  <c r="E25" i="59"/>
  <c r="B25" i="59"/>
  <c r="I24" i="59"/>
  <c r="E24" i="59"/>
  <c r="B24" i="59"/>
  <c r="N33" i="59"/>
  <c r="Q33" i="59" s="1"/>
  <c r="N35" i="59"/>
  <c r="Q35" i="59" s="1"/>
  <c r="N37" i="59"/>
  <c r="N39" i="59"/>
  <c r="N41" i="59"/>
  <c r="N43" i="59"/>
  <c r="N45" i="59"/>
  <c r="N47" i="59"/>
  <c r="N49" i="59"/>
  <c r="N31" i="59"/>
  <c r="Q31" i="59" l="1"/>
  <c r="R31" i="59" s="1"/>
  <c r="Q45" i="59"/>
  <c r="Q51" i="59"/>
  <c r="R51" i="59" s="1"/>
  <c r="Q39" i="59"/>
  <c r="R39" i="59" s="1"/>
  <c r="Q55" i="59"/>
  <c r="R55" i="59" s="1"/>
  <c r="Q49" i="59"/>
  <c r="Q47" i="59"/>
  <c r="R47" i="59" s="1"/>
  <c r="Q43" i="59"/>
  <c r="R43" i="59" s="1"/>
  <c r="Q41" i="59"/>
  <c r="Q37" i="59"/>
  <c r="R35" i="59" s="1"/>
  <c r="Q57" i="59"/>
  <c r="O31" i="59"/>
  <c r="O33" i="59"/>
  <c r="O57" i="59"/>
  <c r="O39" i="59"/>
  <c r="O43" i="59"/>
  <c r="O47" i="59"/>
  <c r="O51" i="59"/>
  <c r="O55" i="59"/>
  <c r="O35" i="59"/>
  <c r="O37" i="59"/>
  <c r="O41" i="59"/>
  <c r="O45" i="59"/>
  <c r="O49" i="59"/>
  <c r="O53" i="59"/>
  <c r="I26" i="59"/>
  <c r="B26" i="59"/>
  <c r="E26" i="59"/>
  <c r="Q22" i="59"/>
  <c r="P22" i="59"/>
  <c r="P21" i="59"/>
  <c r="P20" i="59"/>
  <c r="P19" i="59"/>
  <c r="P18" i="59"/>
  <c r="P17" i="59"/>
  <c r="P16" i="59"/>
  <c r="E16" i="59"/>
  <c r="I16" i="59" s="1"/>
  <c r="M18" i="59"/>
  <c r="P35" i="59" l="1"/>
  <c r="P47" i="59"/>
  <c r="P31" i="59"/>
  <c r="P43" i="59"/>
  <c r="P55" i="59"/>
  <c r="P39" i="59"/>
  <c r="P51" i="59"/>
  <c r="Q23" i="59"/>
</calcChain>
</file>

<file path=xl/sharedStrings.xml><?xml version="1.0" encoding="utf-8"?>
<sst xmlns="http://schemas.openxmlformats.org/spreadsheetml/2006/main" count="92" uniqueCount="71">
  <si>
    <t>Mean</t>
  </si>
  <si>
    <t>SD</t>
  </si>
  <si>
    <t>% RSD</t>
  </si>
  <si>
    <t>Vol</t>
  </si>
  <si>
    <t>Pip</t>
  </si>
  <si>
    <t>Area</t>
  </si>
  <si>
    <t>Area-1</t>
  </si>
  <si>
    <t>Area-2</t>
  </si>
  <si>
    <t>% Assay</t>
  </si>
  <si>
    <t>TRF No.</t>
  </si>
  <si>
    <t>AR No.</t>
  </si>
  <si>
    <t>Checked By</t>
  </si>
  <si>
    <t>Analyzed By</t>
  </si>
  <si>
    <t>Stability Condition</t>
  </si>
  <si>
    <t>Batch No.</t>
  </si>
  <si>
    <t>Potency</t>
  </si>
  <si>
    <t>Analytical Development</t>
  </si>
  <si>
    <t>Generic Name</t>
  </si>
  <si>
    <t>Product Name</t>
  </si>
  <si>
    <t>Test</t>
  </si>
  <si>
    <t>Analysis as per</t>
  </si>
  <si>
    <t>Analysed By</t>
  </si>
  <si>
    <t>Date of Analysis</t>
  </si>
  <si>
    <t>Standard Details</t>
  </si>
  <si>
    <t>Sample Details</t>
  </si>
  <si>
    <t>Assay Calculation Sheet</t>
  </si>
  <si>
    <t>Emcure</t>
  </si>
  <si>
    <t>STD-1</t>
  </si>
  <si>
    <t>STD-2</t>
  </si>
  <si>
    <t xml:space="preserve"> STD -1</t>
  </si>
  <si>
    <t>Weight</t>
  </si>
  <si>
    <t xml:space="preserve"> STD -2</t>
  </si>
  <si>
    <t>mg</t>
  </si>
  <si>
    <t>Sample
 Weight</t>
  </si>
  <si>
    <t>Packing 
Detail</t>
  </si>
  <si>
    <t>Avg 
Weight</t>
  </si>
  <si>
    <t>STD Co-Relation</t>
  </si>
  <si>
    <t>BKT STD</t>
  </si>
  <si>
    <t>PPM</t>
  </si>
  <si>
    <t>STD Area</t>
  </si>
  <si>
    <t>BKT STD Area</t>
  </si>
  <si>
    <t>Instrument ID</t>
  </si>
  <si>
    <t>Standard Name</t>
  </si>
  <si>
    <t>L.C.</t>
  </si>
  <si>
    <t>Inj.</t>
  </si>
  <si>
    <t xml:space="preserve">STD </t>
  </si>
  <si>
    <t>MW-Salt</t>
  </si>
  <si>
    <t>R &amp; D Ahmedabad</t>
  </si>
  <si>
    <t>Bupivacaine liposome injectable suspension 1.3% (13.3 mg/mL)</t>
  </si>
  <si>
    <t>Assay</t>
  </si>
  <si>
    <t>AD/ATP/650/02</t>
  </si>
  <si>
    <t>Divyang Patel</t>
  </si>
  <si>
    <t>AD/HPLC/005</t>
  </si>
  <si>
    <t>Bupivacaine</t>
  </si>
  <si>
    <t>EP20_117-307</t>
  </si>
  <si>
    <t>2-8°C_Initial_Set-1</t>
  </si>
  <si>
    <t>2-8°C_Initial_Set-2</t>
  </si>
  <si>
    <t>Glass Vial</t>
  </si>
  <si>
    <t>TRF_010-25-72</t>
  </si>
  <si>
    <t>AD/008/25/0078</t>
  </si>
  <si>
    <t>EP20_117-295</t>
  </si>
  <si>
    <t>2-8°C_180 Days</t>
  </si>
  <si>
    <t>TRF_010-25-012</t>
  </si>
  <si>
    <t>AD/008/25/0033</t>
  </si>
  <si>
    <t>Assay (mg/mL)</t>
  </si>
  <si>
    <t>Mean (mg/mL)</t>
  </si>
  <si>
    <t>Template ID</t>
  </si>
  <si>
    <t>Avg.  
Area</t>
  </si>
  <si>
    <t>% Mean Assay</t>
  </si>
  <si>
    <t>Wt. in mg</t>
  </si>
  <si>
    <t>MW-Base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</si>
</sst>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sz val="24"/>
      <name val="Arial"/>
      <family val="2"/>
    </font>
    <font>
      <b/>
      <sz val="26"/>
      <color theme="1"/>
      <name val="Arial"/>
      <family val="2"/>
    </font>
    <font>
      <b/>
      <sz val="28"/>
      <color theme="1"/>
      <name val="Calibri"/>
      <family val="2"/>
      <scheme val="minor"/>
    </font>
    <font>
      <sz val="26"/>
      <color theme="1"/>
      <name val="Arial"/>
      <family val="2"/>
    </font>
    <font>
      <sz val="24"/>
      <color theme="1"/>
      <name val="Arial"/>
      <family val="2"/>
    </font>
    <font>
      <b/>
      <sz val="22"/>
      <color theme="1"/>
      <name val="Arial"/>
      <family val="2"/>
    </font>
    <font>
      <b/>
      <sz val="33"/>
      <color rgb="FFFF0000"/>
      <name val="Arial"/>
      <family val="2"/>
    </font>
    <font>
      <sz val="3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0">
    <xf numFmtId="0" fontId="0" fillId="0" borderId="0" xfId="0"/>
    <xf numFmtId="0" fontId="2" fillId="0" borderId="0" xfId="0" applyFont="1" applyFill="1" applyProtection="1">
      <protection hidden="1"/>
    </xf>
    <xf numFmtId="0" fontId="3" fillId="0" borderId="0" xfId="0" applyFont="1" applyFill="1" applyBorder="1" applyProtection="1">
      <protection hidden="1"/>
    </xf>
    <xf numFmtId="0" fontId="3" fillId="0" borderId="0" xfId="0" applyFont="1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1" fillId="0" borderId="0" xfId="0" applyFont="1" applyFill="1" applyProtection="1"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1" fillId="0" borderId="0" xfId="0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vertical="center"/>
      <protection hidden="1"/>
    </xf>
    <xf numFmtId="0" fontId="6" fillId="0" borderId="12" xfId="0" applyFont="1" applyFill="1" applyBorder="1" applyAlignment="1" applyProtection="1">
      <alignment vertical="center"/>
      <protection hidden="1"/>
    </xf>
    <xf numFmtId="0" fontId="6" fillId="0" borderId="13" xfId="0" applyFont="1" applyFill="1" applyBorder="1" applyAlignment="1" applyProtection="1">
      <alignment vertical="center"/>
      <protection hidden="1"/>
    </xf>
    <xf numFmtId="0" fontId="3" fillId="0" borderId="27" xfId="0" applyFont="1" applyFill="1" applyBorder="1" applyProtection="1">
      <protection hidden="1"/>
    </xf>
    <xf numFmtId="0" fontId="0" fillId="0" borderId="35" xfId="0" applyFill="1" applyBorder="1" applyProtection="1">
      <protection hidden="1"/>
    </xf>
    <xf numFmtId="0" fontId="1" fillId="0" borderId="35" xfId="0" applyFont="1" applyFill="1" applyBorder="1" applyProtection="1">
      <protection hidden="1"/>
    </xf>
    <xf numFmtId="0" fontId="1" fillId="0" borderId="0" xfId="0" applyFont="1" applyFill="1" applyBorder="1" applyProtection="1">
      <protection hidden="1"/>
    </xf>
    <xf numFmtId="0" fontId="1" fillId="0" borderId="27" xfId="0" applyFont="1" applyFill="1" applyBorder="1" applyProtection="1">
      <protection hidden="1"/>
    </xf>
    <xf numFmtId="0" fontId="1" fillId="0" borderId="36" xfId="0" applyFont="1" applyFill="1" applyBorder="1" applyAlignment="1" applyProtection="1">
      <alignment horizontal="center"/>
      <protection hidden="1"/>
    </xf>
    <xf numFmtId="0" fontId="1" fillId="0" borderId="36" xfId="0" applyFont="1" applyFill="1" applyBorder="1" applyProtection="1">
      <protection hidden="1"/>
    </xf>
    <xf numFmtId="0" fontId="6" fillId="0" borderId="14" xfId="0" applyFont="1" applyFill="1" applyBorder="1" applyAlignment="1" applyProtection="1">
      <alignment horizontal="left" vertical="center"/>
      <protection hidden="1"/>
    </xf>
    <xf numFmtId="0" fontId="0" fillId="0" borderId="0" xfId="0" applyFill="1" applyBorder="1" applyProtection="1">
      <protection hidden="1"/>
    </xf>
    <xf numFmtId="0" fontId="7" fillId="0" borderId="0" xfId="0" applyFont="1" applyFill="1" applyBorder="1" applyAlignment="1" applyProtection="1">
      <alignment vertical="center"/>
      <protection locked="0"/>
    </xf>
    <xf numFmtId="0" fontId="4" fillId="0" borderId="20" xfId="0" applyFont="1" applyFill="1" applyBorder="1" applyProtection="1">
      <protection hidden="1"/>
    </xf>
    <xf numFmtId="0" fontId="4" fillId="0" borderId="21" xfId="0" applyFont="1" applyFill="1" applyBorder="1" applyProtection="1">
      <protection hidden="1"/>
    </xf>
    <xf numFmtId="0" fontId="4" fillId="0" borderId="21" xfId="0" applyFont="1" applyFill="1" applyBorder="1" applyAlignment="1" applyProtection="1">
      <alignment horizontal="center"/>
      <protection hidden="1"/>
    </xf>
    <xf numFmtId="0" fontId="4" fillId="0" borderId="22" xfId="0" applyFont="1" applyFill="1" applyBorder="1" applyProtection="1">
      <protection hidden="1"/>
    </xf>
    <xf numFmtId="0" fontId="7" fillId="0" borderId="35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horizontal="center" vertical="center" wrapText="1"/>
      <protection hidden="1"/>
    </xf>
    <xf numFmtId="0" fontId="6" fillId="0" borderId="7" xfId="0" applyFont="1" applyFill="1" applyBorder="1" applyAlignment="1" applyProtection="1">
      <alignment horizontal="center" vertical="center"/>
      <protection hidden="1"/>
    </xf>
    <xf numFmtId="0" fontId="6" fillId="0" borderId="7" xfId="0" applyFont="1" applyFill="1" applyBorder="1" applyAlignment="1" applyProtection="1">
      <alignment horizontal="center" wrapText="1"/>
      <protection hidden="1"/>
    </xf>
    <xf numFmtId="0" fontId="6" fillId="0" borderId="15" xfId="0" applyFont="1" applyFill="1" applyBorder="1" applyAlignment="1" applyProtection="1">
      <alignment horizontal="center"/>
      <protection hidden="1"/>
    </xf>
    <xf numFmtId="0" fontId="6" fillId="2" borderId="15" xfId="0" applyFont="1" applyFill="1" applyBorder="1" applyAlignment="1" applyProtection="1">
      <alignment horizontal="center" vertical="center" wrapText="1"/>
      <protection locked="0"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1" fillId="0" borderId="0" xfId="0" applyFont="1" applyFill="1" applyBorder="1" applyProtection="1">
      <protection hidden="1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Fill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  <protection hidden="1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hidden="1"/>
    </xf>
    <xf numFmtId="164" fontId="6" fillId="0" borderId="19" xfId="0" applyNumberFormat="1" applyFont="1" applyFill="1" applyBorder="1" applyAlignment="1" applyProtection="1">
      <alignment horizontal="center" vertical="center"/>
      <protection hidden="1"/>
    </xf>
    <xf numFmtId="164" fontId="6" fillId="0" borderId="26" xfId="0" applyNumberFormat="1" applyFont="1" applyFill="1" applyBorder="1" applyAlignment="1" applyProtection="1">
      <alignment horizontal="center" vertical="center"/>
      <protection hidden="1"/>
    </xf>
    <xf numFmtId="0" fontId="7" fillId="0" borderId="0" xfId="0" applyFont="1" applyFill="1" applyBorder="1" applyProtection="1">
      <protection hidden="1"/>
    </xf>
    <xf numFmtId="0" fontId="11" fillId="0" borderId="0" xfId="0" applyFont="1" applyFill="1" applyBorder="1" applyAlignment="1">
      <alignment vertical="center"/>
    </xf>
    <xf numFmtId="0" fontId="11" fillId="0" borderId="35" xfId="0" applyFont="1" applyFill="1" applyBorder="1" applyAlignment="1">
      <alignment vertical="center"/>
    </xf>
    <xf numFmtId="0" fontId="7" fillId="0" borderId="35" xfId="0" applyFont="1" applyFill="1" applyBorder="1" applyProtection="1">
      <protection hidden="1"/>
    </xf>
    <xf numFmtId="0" fontId="11" fillId="0" borderId="27" xfId="0" applyFont="1" applyFill="1" applyBorder="1" applyProtection="1">
      <protection hidden="1"/>
    </xf>
    <xf numFmtId="0" fontId="11" fillId="0" borderId="0" xfId="0" applyFont="1" applyFill="1" applyBorder="1" applyAlignment="1" applyProtection="1">
      <alignment horizontal="center"/>
      <protection hidden="1"/>
    </xf>
    <xf numFmtId="0" fontId="11" fillId="0" borderId="35" xfId="0" applyFont="1" applyFill="1" applyBorder="1" applyProtection="1">
      <protection hidden="1"/>
    </xf>
    <xf numFmtId="0" fontId="11" fillId="2" borderId="11" xfId="0" applyFont="1" applyFill="1" applyBorder="1" applyAlignment="1" applyProtection="1">
      <alignment horizontal="center" vertical="center"/>
      <protection locked="0"/>
    </xf>
    <xf numFmtId="0" fontId="11" fillId="0" borderId="17" xfId="0" applyFont="1" applyFill="1" applyBorder="1" applyAlignment="1" applyProtection="1">
      <alignment horizontal="center" vertical="center"/>
      <protection hidden="1"/>
    </xf>
    <xf numFmtId="0" fontId="11" fillId="0" borderId="27" xfId="0" applyFont="1" applyFill="1" applyBorder="1" applyAlignment="1" applyProtection="1">
      <alignment horizontal="left" wrapText="1"/>
      <protection hidden="1"/>
    </xf>
    <xf numFmtId="0" fontId="11" fillId="0" borderId="0" xfId="0" applyFont="1" applyFill="1" applyBorder="1" applyAlignment="1" applyProtection="1">
      <alignment horizontal="left" wrapText="1"/>
      <protection hidden="1"/>
    </xf>
    <xf numFmtId="0" fontId="11" fillId="0" borderId="0" xfId="0" applyFont="1" applyFill="1" applyBorder="1" applyAlignment="1" applyProtection="1">
      <alignment vertical="center"/>
      <protection hidden="1"/>
    </xf>
    <xf numFmtId="0" fontId="11" fillId="0" borderId="1" xfId="0" applyFont="1" applyBorder="1" applyAlignment="1">
      <alignment horizontal="center" vertical="center"/>
    </xf>
    <xf numFmtId="0" fontId="11" fillId="2" borderId="16" xfId="0" applyFont="1" applyFill="1" applyBorder="1" applyAlignment="1" applyProtection="1">
      <alignment horizontal="center" vertical="center"/>
      <protection locked="0"/>
    </xf>
    <xf numFmtId="0" fontId="6" fillId="0" borderId="33" xfId="0" applyFont="1" applyFill="1" applyBorder="1" applyAlignment="1" applyProtection="1">
      <alignment horizontal="center" vertical="center"/>
      <protection hidden="1"/>
    </xf>
    <xf numFmtId="165" fontId="11" fillId="0" borderId="16" xfId="0" applyNumberFormat="1" applyFont="1" applyBorder="1" applyAlignment="1">
      <alignment horizontal="center" vertical="center"/>
    </xf>
    <xf numFmtId="165" fontId="11" fillId="3" borderId="17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>
      <alignment horizontal="center" vertical="center"/>
    </xf>
    <xf numFmtId="0" fontId="11" fillId="2" borderId="18" xfId="0" applyFont="1" applyFill="1" applyBorder="1" applyAlignment="1" applyProtection="1">
      <alignment horizontal="center" vertical="center"/>
      <protection locked="0"/>
    </xf>
    <xf numFmtId="0" fontId="6" fillId="0" borderId="39" xfId="0" applyFont="1" applyFill="1" applyBorder="1" applyAlignment="1" applyProtection="1">
      <alignment horizontal="center" vertical="center"/>
      <protection hidden="1"/>
    </xf>
    <xf numFmtId="1" fontId="6" fillId="0" borderId="22" xfId="0" applyNumberFormat="1" applyFont="1" applyFill="1" applyBorder="1" applyAlignment="1" applyProtection="1">
      <alignment horizontal="center" vertical="center"/>
      <protection hidden="1"/>
    </xf>
    <xf numFmtId="164" fontId="6" fillId="0" borderId="33" xfId="0" applyNumberFormat="1" applyFont="1" applyFill="1" applyBorder="1" applyAlignment="1" applyProtection="1">
      <alignment horizontal="center" vertical="center"/>
      <protection hidden="1"/>
    </xf>
    <xf numFmtId="164" fontId="11" fillId="0" borderId="9" xfId="0" applyNumberFormat="1" applyFont="1" applyFill="1" applyBorder="1" applyAlignment="1" applyProtection="1">
      <alignment horizontal="center" vertical="center"/>
      <protection hidden="1"/>
    </xf>
    <xf numFmtId="164" fontId="6" fillId="0" borderId="27" xfId="0" applyNumberFormat="1" applyFont="1" applyFill="1" applyBorder="1" applyAlignment="1" applyProtection="1">
      <alignment horizontal="center" vertical="center"/>
      <protection hidden="1"/>
    </xf>
    <xf numFmtId="164" fontId="6" fillId="0" borderId="37" xfId="0" applyNumberFormat="1" applyFont="1" applyFill="1" applyBorder="1" applyAlignment="1" applyProtection="1">
      <alignment horizontal="center" vertical="center"/>
      <protection hidden="1"/>
    </xf>
    <xf numFmtId="164" fontId="6" fillId="0" borderId="34" xfId="0" applyNumberFormat="1" applyFont="1" applyFill="1" applyBorder="1" applyAlignment="1" applyProtection="1">
      <alignment horizontal="center" vertical="center"/>
      <protection hidden="1"/>
    </xf>
    <xf numFmtId="0" fontId="6" fillId="0" borderId="23" xfId="0" applyFont="1" applyFill="1" applyBorder="1" applyAlignment="1" applyProtection="1">
      <alignment horizontal="center" vertical="center" wrapText="1"/>
      <protection hidden="1"/>
    </xf>
    <xf numFmtId="0" fontId="6" fillId="0" borderId="24" xfId="0" applyFont="1" applyFill="1" applyBorder="1" applyAlignment="1" applyProtection="1">
      <alignment horizontal="center" vertical="center" wrapText="1"/>
      <protection hidden="1"/>
    </xf>
    <xf numFmtId="0" fontId="6" fillId="0" borderId="24" xfId="0" applyFont="1" applyFill="1" applyBorder="1" applyAlignment="1" applyProtection="1">
      <alignment horizontal="center" vertical="center" wrapText="1"/>
    </xf>
    <xf numFmtId="0" fontId="6" fillId="0" borderId="7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 applyProtection="1">
      <alignment horizontal="center" vertical="center" wrapText="1"/>
    </xf>
    <xf numFmtId="0" fontId="12" fillId="0" borderId="15" xfId="0" applyFont="1" applyFill="1" applyBorder="1" applyAlignment="1" applyProtection="1">
      <alignment horizontal="center" vertical="center" wrapText="1"/>
    </xf>
    <xf numFmtId="165" fontId="11" fillId="2" borderId="11" xfId="0" applyNumberFormat="1" applyFont="1" applyFill="1" applyBorder="1" applyAlignment="1" applyProtection="1">
      <alignment horizontal="center" vertical="center"/>
      <protection locked="0"/>
    </xf>
    <xf numFmtId="0" fontId="8" fillId="0" borderId="20" xfId="0" applyFont="1" applyFill="1" applyBorder="1" applyAlignment="1" applyProtection="1">
      <alignment horizontal="center" vertical="center"/>
      <protection hidden="1"/>
    </xf>
    <xf numFmtId="0" fontId="8" fillId="0" borderId="21" xfId="0" applyFont="1" applyFill="1" applyBorder="1" applyAlignment="1" applyProtection="1">
      <alignment horizontal="center" vertical="center"/>
      <protection hidden="1"/>
    </xf>
    <xf numFmtId="0" fontId="8" fillId="0" borderId="22" xfId="0" applyFont="1" applyFill="1" applyBorder="1" applyAlignment="1" applyProtection="1">
      <alignment horizontal="center" vertical="center"/>
      <protection hidden="1"/>
    </xf>
    <xf numFmtId="0" fontId="1" fillId="3" borderId="52" xfId="0" applyFont="1" applyFill="1" applyBorder="1" applyAlignment="1" applyProtection="1">
      <alignment horizontal="center" vertical="top"/>
      <protection hidden="1"/>
    </xf>
    <xf numFmtId="0" fontId="1" fillId="3" borderId="53" xfId="0" applyFont="1" applyFill="1" applyBorder="1" applyAlignment="1" applyProtection="1">
      <alignment horizontal="center" vertical="top"/>
      <protection hidden="1"/>
    </xf>
    <xf numFmtId="0" fontId="1" fillId="3" borderId="54" xfId="0" applyFont="1" applyFill="1" applyBorder="1" applyAlignment="1" applyProtection="1">
      <alignment horizontal="center" vertical="top"/>
      <protection hidden="1"/>
    </xf>
    <xf numFmtId="0" fontId="1" fillId="3" borderId="27" xfId="0" applyFont="1" applyFill="1" applyBorder="1" applyAlignment="1" applyProtection="1">
      <alignment horizontal="center" vertical="top"/>
      <protection hidden="1"/>
    </xf>
    <xf numFmtId="0" fontId="1" fillId="3" borderId="0" xfId="0" applyFont="1" applyFill="1" applyBorder="1" applyAlignment="1" applyProtection="1">
      <alignment horizontal="center" vertical="top"/>
      <protection hidden="1"/>
    </xf>
    <xf numFmtId="0" fontId="1" fillId="3" borderId="35" xfId="0" applyFont="1" applyFill="1" applyBorder="1" applyAlignment="1" applyProtection="1">
      <alignment horizontal="center" vertical="top"/>
      <protection hidden="1"/>
    </xf>
    <xf numFmtId="0" fontId="1" fillId="3" borderId="55" xfId="0" applyFont="1" applyFill="1" applyBorder="1" applyAlignment="1" applyProtection="1">
      <alignment horizontal="center" vertical="top"/>
      <protection hidden="1"/>
    </xf>
    <xf numFmtId="0" fontId="1" fillId="3" borderId="36" xfId="0" applyFont="1" applyFill="1" applyBorder="1" applyAlignment="1" applyProtection="1">
      <alignment horizontal="center" vertical="top"/>
      <protection hidden="1"/>
    </xf>
    <xf numFmtId="0" fontId="1" fillId="3" borderId="56" xfId="0" applyFont="1" applyFill="1" applyBorder="1" applyAlignment="1" applyProtection="1">
      <alignment horizontal="center" vertical="top"/>
      <protection hidden="1"/>
    </xf>
    <xf numFmtId="2" fontId="8" fillId="0" borderId="3" xfId="0" applyNumberFormat="1" applyFont="1" applyFill="1" applyBorder="1" applyAlignment="1" applyProtection="1">
      <alignment horizontal="center" vertical="center"/>
    </xf>
    <xf numFmtId="2" fontId="8" fillId="0" borderId="40" xfId="0" applyNumberFormat="1" applyFont="1" applyFill="1" applyBorder="1" applyAlignment="1" applyProtection="1">
      <alignment horizontal="center" vertical="center"/>
    </xf>
    <xf numFmtId="2" fontId="8" fillId="0" borderId="18" xfId="0" applyNumberFormat="1" applyFont="1" applyFill="1" applyBorder="1" applyAlignment="1" applyProtection="1">
      <alignment horizontal="center" vertical="center"/>
    </xf>
    <xf numFmtId="2" fontId="8" fillId="0" borderId="9" xfId="0" applyNumberFormat="1" applyFont="1" applyFill="1" applyBorder="1" applyAlignment="1" applyProtection="1">
      <alignment horizontal="center" vertical="center"/>
    </xf>
    <xf numFmtId="2" fontId="8" fillId="0" borderId="58" xfId="0" applyNumberFormat="1" applyFont="1" applyFill="1" applyBorder="1" applyAlignment="1" applyProtection="1">
      <alignment horizontal="center" vertical="center"/>
    </xf>
    <xf numFmtId="2" fontId="8" fillId="0" borderId="57" xfId="0" applyNumberFormat="1" applyFont="1" applyFill="1" applyBorder="1" applyAlignment="1" applyProtection="1">
      <alignment horizontal="center" vertical="center"/>
    </xf>
    <xf numFmtId="2" fontId="8" fillId="0" borderId="41" xfId="0" applyNumberFormat="1" applyFont="1" applyFill="1" applyBorder="1" applyAlignment="1" applyProtection="1">
      <alignment horizontal="center" vertical="center"/>
    </xf>
    <xf numFmtId="2" fontId="8" fillId="0" borderId="4" xfId="0" applyNumberFormat="1" applyFont="1" applyFill="1" applyBorder="1" applyAlignment="1" applyProtection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hidden="1"/>
    </xf>
    <xf numFmtId="0" fontId="13" fillId="0" borderId="7" xfId="0" applyFont="1" applyFill="1" applyBorder="1" applyAlignment="1" applyProtection="1">
      <alignment horizontal="center" vertical="center"/>
      <protection hidden="1"/>
    </xf>
    <xf numFmtId="0" fontId="14" fillId="0" borderId="7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5" fillId="0" borderId="13" xfId="0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14" xfId="0" applyFont="1" applyFill="1" applyBorder="1" applyAlignment="1" applyProtection="1">
      <alignment horizontal="center" vertical="center"/>
      <protection hidden="1"/>
    </xf>
    <xf numFmtId="0" fontId="5" fillId="0" borderId="11" xfId="0" applyFont="1" applyFill="1" applyBorder="1" applyAlignment="1" applyProtection="1">
      <alignment horizontal="center" vertical="center"/>
      <protection hidden="1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20" xfId="0" applyFont="1" applyFill="1" applyBorder="1" applyAlignment="1" applyProtection="1">
      <alignment horizontal="center" vertical="center"/>
      <protection hidden="1"/>
    </xf>
    <xf numFmtId="0" fontId="6" fillId="0" borderId="21" xfId="0" applyFont="1" applyFill="1" applyBorder="1" applyAlignment="1" applyProtection="1">
      <alignment horizontal="center" vertical="center"/>
      <protection hidden="1"/>
    </xf>
    <xf numFmtId="0" fontId="6" fillId="0" borderId="22" xfId="0" applyFont="1" applyFill="1" applyBorder="1" applyAlignment="1" applyProtection="1">
      <alignment horizontal="center" vertical="center"/>
      <protection hidden="1"/>
    </xf>
    <xf numFmtId="0" fontId="7" fillId="2" borderId="42" xfId="0" applyFont="1" applyFill="1" applyBorder="1" applyAlignment="1" applyProtection="1">
      <alignment horizontal="left" vertical="center"/>
      <protection locked="0"/>
    </xf>
    <xf numFmtId="0" fontId="7" fillId="2" borderId="45" xfId="0" applyFont="1" applyFill="1" applyBorder="1" applyAlignment="1" applyProtection="1">
      <alignment horizontal="left" vertical="center"/>
      <protection locked="0"/>
    </xf>
    <xf numFmtId="0" fontId="7" fillId="2" borderId="46" xfId="0" applyFont="1" applyFill="1" applyBorder="1" applyAlignment="1" applyProtection="1">
      <alignment horizontal="left" vertical="center"/>
      <protection locked="0"/>
    </xf>
    <xf numFmtId="0" fontId="7" fillId="2" borderId="43" xfId="0" applyFont="1" applyFill="1" applyBorder="1" applyAlignment="1" applyProtection="1">
      <alignment horizontal="left" vertical="center"/>
      <protection locked="0"/>
    </xf>
    <xf numFmtId="0" fontId="11" fillId="0" borderId="47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14" fontId="7" fillId="2" borderId="43" xfId="0" quotePrefix="1" applyNumberFormat="1" applyFont="1" applyFill="1" applyBorder="1" applyAlignment="1" applyProtection="1">
      <alignment horizontal="left" vertical="center"/>
      <protection locked="0"/>
    </xf>
    <xf numFmtId="0" fontId="6" fillId="0" borderId="14" xfId="0" applyFont="1" applyFill="1" applyBorder="1" applyAlignment="1" applyProtection="1">
      <alignment horizontal="left" vertical="center"/>
      <protection hidden="1"/>
    </xf>
    <xf numFmtId="0" fontId="6" fillId="0" borderId="11" xfId="0" applyFont="1" applyFill="1" applyBorder="1" applyAlignment="1" applyProtection="1">
      <alignment horizontal="left" vertical="center"/>
      <protection hidden="1"/>
    </xf>
    <xf numFmtId="14" fontId="7" fillId="2" borderId="44" xfId="0" quotePrefix="1" applyNumberFormat="1" applyFont="1" applyFill="1" applyBorder="1" applyAlignment="1" applyProtection="1">
      <alignment horizontal="left" vertical="center"/>
      <protection locked="0"/>
    </xf>
    <xf numFmtId="0" fontId="11" fillId="0" borderId="49" xfId="0" applyFont="1" applyBorder="1" applyAlignment="1">
      <alignment horizontal="left" vertical="center"/>
    </xf>
    <xf numFmtId="0" fontId="11" fillId="0" borderId="50" xfId="0" applyFont="1" applyBorder="1" applyAlignment="1">
      <alignment horizontal="left" vertical="center"/>
    </xf>
    <xf numFmtId="2" fontId="8" fillId="0" borderId="5" xfId="0" applyNumberFormat="1" applyFont="1" applyFill="1" applyBorder="1" applyAlignment="1" applyProtection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12" xfId="0" applyFont="1" applyFill="1" applyBorder="1" applyAlignment="1" applyProtection="1">
      <alignment horizontal="center" vertical="center" wrapText="1"/>
      <protection hidden="1"/>
    </xf>
    <xf numFmtId="0" fontId="6" fillId="0" borderId="7" xfId="0" applyFont="1" applyFill="1" applyBorder="1" applyAlignment="1" applyProtection="1">
      <alignment horizontal="center" vertical="center" wrapText="1"/>
      <protection hidden="1"/>
    </xf>
    <xf numFmtId="0" fontId="6" fillId="2" borderId="14" xfId="0" applyFont="1" applyFill="1" applyBorder="1" applyAlignment="1" applyProtection="1">
      <alignment horizontal="center" vertical="center" wrapText="1"/>
      <protection locked="0" hidden="1"/>
    </xf>
    <xf numFmtId="0" fontId="6" fillId="2" borderId="11" xfId="0" applyFont="1" applyFill="1" applyBorder="1" applyAlignment="1" applyProtection="1">
      <alignment horizontal="center" vertical="center" wrapText="1"/>
      <protection locked="0" hidden="1"/>
    </xf>
    <xf numFmtId="0" fontId="6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Fill="1" applyBorder="1" applyAlignment="1" applyProtection="1">
      <alignment horizontal="left" vertical="center"/>
      <protection hidden="1"/>
    </xf>
    <xf numFmtId="0" fontId="6" fillId="0" borderId="7" xfId="0" applyFont="1" applyFill="1" applyBorder="1" applyAlignment="1" applyProtection="1">
      <alignment horizontal="left" vertical="center"/>
      <protection hidden="1"/>
    </xf>
    <xf numFmtId="0" fontId="6" fillId="0" borderId="13" xfId="0" applyFont="1" applyFill="1" applyBorder="1" applyAlignment="1" applyProtection="1">
      <alignment horizontal="left" vertical="center"/>
      <protection hidden="1"/>
    </xf>
    <xf numFmtId="0" fontId="6" fillId="0" borderId="1" xfId="0" applyFont="1" applyFill="1" applyBorder="1" applyAlignment="1" applyProtection="1">
      <alignment horizontal="left" vertical="center"/>
      <protection hidden="1"/>
    </xf>
    <xf numFmtId="0" fontId="7" fillId="2" borderId="7" xfId="0" applyFont="1" applyFill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11" fillId="0" borderId="15" xfId="0" applyFont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11" fillId="0" borderId="16" xfId="0" applyFont="1" applyBorder="1" applyAlignment="1" applyProtection="1">
      <alignment horizontal="left" vertical="center"/>
      <protection locked="0"/>
    </xf>
    <xf numFmtId="0" fontId="7" fillId="2" borderId="11" xfId="0" applyFont="1" applyFill="1" applyBorder="1" applyAlignment="1" applyProtection="1">
      <alignment horizontal="left" vertical="center"/>
      <protection locked="0"/>
    </xf>
    <xf numFmtId="0" fontId="11" fillId="0" borderId="11" xfId="0" applyFont="1" applyBorder="1" applyAlignment="1" applyProtection="1">
      <alignment horizontal="left" vertical="center"/>
      <protection locked="0"/>
    </xf>
    <xf numFmtId="0" fontId="11" fillId="0" borderId="17" xfId="0" applyFont="1" applyBorder="1" applyAlignment="1" applyProtection="1">
      <alignment horizontal="left" vertical="center"/>
      <protection locked="0"/>
    </xf>
    <xf numFmtId="0" fontId="6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7" fontId="10" fillId="2" borderId="3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40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41" xfId="0" applyFont="1" applyFill="1" applyBorder="1" applyAlignment="1" applyProtection="1">
      <alignment horizontal="left" vertical="center" wrapText="1"/>
      <protection locked="0"/>
    </xf>
    <xf numFmtId="0" fontId="11" fillId="2" borderId="4" xfId="0" applyFont="1" applyFill="1" applyBorder="1" applyAlignment="1" applyProtection="1">
      <alignment horizontal="left" vertical="center" wrapText="1"/>
      <protection locked="0"/>
    </xf>
    <xf numFmtId="0" fontId="11" fillId="2" borderId="41" xfId="0" applyFont="1" applyFill="1" applyBorder="1" applyAlignment="1" applyProtection="1">
      <alignment horizontal="center" vertical="center" wrapText="1"/>
      <protection locked="0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167" fontId="10" fillId="2" borderId="41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 wrapText="1"/>
      <protection locked="0"/>
    </xf>
    <xf numFmtId="1" fontId="10" fillId="0" borderId="1" xfId="0" applyNumberFormat="1" applyFont="1" applyFill="1" applyBorder="1" applyAlignment="1" applyProtection="1">
      <alignment horizontal="center" vertical="center"/>
    </xf>
    <xf numFmtId="1" fontId="10" fillId="0" borderId="11" xfId="0" applyNumberFormat="1" applyFont="1" applyFill="1" applyBorder="1" applyAlignment="1" applyProtection="1">
      <alignment horizontal="center" vertical="center"/>
    </xf>
    <xf numFmtId="2" fontId="8" fillId="0" borderId="7" xfId="0" applyNumberFormat="1" applyFont="1" applyFill="1" applyBorder="1" applyAlignment="1" applyProtection="1">
      <alignment horizontal="center" vertical="center"/>
    </xf>
    <xf numFmtId="2" fontId="8" fillId="0" borderId="1" xfId="0" applyNumberFormat="1" applyFont="1" applyFill="1" applyBorder="1" applyAlignment="1" applyProtection="1">
      <alignment horizontal="center" vertical="center"/>
    </xf>
    <xf numFmtId="1" fontId="10" fillId="2" borderId="41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41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10" fillId="2" borderId="7" xfId="0" applyFont="1" applyFill="1" applyBorder="1" applyAlignment="1" applyProtection="1">
      <alignment horizontal="center" vertical="center" wrapText="1"/>
      <protection locked="0"/>
    </xf>
    <xf numFmtId="1" fontId="10" fillId="0" borderId="7" xfId="0" applyNumberFormat="1" applyFont="1" applyFill="1" applyBorder="1" applyAlignment="1" applyProtection="1">
      <alignment horizontal="center" vertical="center"/>
    </xf>
    <xf numFmtId="2" fontId="8" fillId="0" borderId="11" xfId="0" applyNumberFormat="1" applyFont="1" applyFill="1" applyBorder="1" applyAlignment="1" applyProtection="1">
      <alignment horizontal="center" vertical="center"/>
    </xf>
    <xf numFmtId="164" fontId="8" fillId="0" borderId="7" xfId="0" applyNumberFormat="1" applyFont="1" applyFill="1" applyBorder="1" applyAlignment="1" applyProtection="1">
      <alignment horizontal="center" vertical="center"/>
    </xf>
    <xf numFmtId="164" fontId="8" fillId="0" borderId="1" xfId="0" applyNumberFormat="1" applyFont="1" applyFill="1" applyBorder="1" applyAlignment="1" applyProtection="1">
      <alignment horizontal="center" vertical="center"/>
    </xf>
    <xf numFmtId="164" fontId="8" fillId="0" borderId="11" xfId="0" applyNumberFormat="1" applyFont="1" applyFill="1" applyBorder="1" applyAlignment="1" applyProtection="1">
      <alignment horizontal="center" vertical="center"/>
    </xf>
    <xf numFmtId="0" fontId="11" fillId="2" borderId="13" xfId="0" applyFont="1" applyFill="1" applyBorder="1" applyAlignment="1" applyProtection="1">
      <alignment horizontal="center" vertical="center" wrapText="1"/>
      <protection locked="0"/>
    </xf>
    <xf numFmtId="0" fontId="11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left" vertical="center" wrapText="1"/>
      <protection locked="0"/>
    </xf>
    <xf numFmtId="0" fontId="11" fillId="2" borderId="11" xfId="0" applyFont="1" applyFill="1" applyBorder="1" applyAlignment="1" applyProtection="1">
      <alignment horizontal="left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167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11" xfId="0" applyNumberFormat="1" applyFont="1" applyFill="1" applyBorder="1" applyAlignment="1" applyProtection="1">
      <alignment horizontal="center" vertical="center" wrapText="1"/>
      <protection locked="0"/>
    </xf>
    <xf numFmtId="166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10" fillId="2" borderId="11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1" xfId="0" applyNumberFormat="1" applyFont="1" applyFill="1" applyBorder="1" applyAlignment="1" applyProtection="1">
      <alignment horizontal="center" vertical="center" wrapText="1"/>
      <protection locked="0"/>
    </xf>
    <xf numFmtId="164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0" fillId="2" borderId="11" xfId="0" applyNumberFormat="1" applyFont="1" applyFill="1" applyBorder="1" applyAlignment="1" applyProtection="1">
      <alignment horizontal="center" vertical="center" wrapText="1"/>
      <protection locked="0"/>
    </xf>
    <xf numFmtId="164" fontId="11" fillId="0" borderId="5" xfId="0" applyNumberFormat="1" applyFont="1" applyFill="1" applyBorder="1" applyAlignment="1" applyProtection="1">
      <alignment horizontal="center" vertical="center"/>
      <protection hidden="1"/>
    </xf>
    <xf numFmtId="164" fontId="11" fillId="0" borderId="9" xfId="0" applyNumberFormat="1" applyFont="1" applyFill="1" applyBorder="1" applyAlignment="1" applyProtection="1">
      <alignment horizontal="center" vertical="center"/>
      <protection hidden="1"/>
    </xf>
    <xf numFmtId="164" fontId="6" fillId="0" borderId="23" xfId="0" applyNumberFormat="1" applyFont="1" applyFill="1" applyBorder="1" applyAlignment="1" applyProtection="1">
      <alignment horizontal="center" vertical="center"/>
      <protection hidden="1"/>
    </xf>
    <xf numFmtId="164" fontId="6" fillId="0" borderId="25" xfId="0" applyNumberFormat="1" applyFont="1" applyFill="1" applyBorder="1" applyAlignment="1" applyProtection="1">
      <alignment horizontal="center" vertical="center"/>
      <protection hidden="1"/>
    </xf>
    <xf numFmtId="0" fontId="6" fillId="2" borderId="7" xfId="0" applyFont="1" applyFill="1" applyBorder="1" applyAlignment="1" applyProtection="1">
      <alignment horizontal="center" vertical="center" wrapText="1"/>
      <protection locked="0" hidden="1"/>
    </xf>
    <xf numFmtId="0" fontId="6" fillId="2" borderId="15" xfId="0" applyFont="1" applyFill="1" applyBorder="1" applyAlignment="1" applyProtection="1">
      <alignment horizontal="center" vertical="center" wrapText="1"/>
      <protection locked="0" hidden="1"/>
    </xf>
    <xf numFmtId="0" fontId="6" fillId="0" borderId="1" xfId="0" applyFont="1" applyFill="1" applyBorder="1" applyAlignment="1" applyProtection="1">
      <alignment horizontal="center" vertical="center" wrapText="1"/>
      <protection hidden="1"/>
    </xf>
    <xf numFmtId="0" fontId="6" fillId="0" borderId="16" xfId="0" applyFont="1" applyFill="1" applyBorder="1" applyAlignment="1" applyProtection="1">
      <alignment horizontal="center" vertical="center" wrapText="1"/>
      <protection hidden="1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2" borderId="16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1" fillId="2" borderId="18" xfId="0" applyFont="1" applyFill="1" applyBorder="1" applyAlignment="1" applyProtection="1">
      <alignment horizontal="center" vertical="center"/>
      <protection locked="0"/>
    </xf>
    <xf numFmtId="1" fontId="6" fillId="0" borderId="23" xfId="0" applyNumberFormat="1" applyFont="1" applyFill="1" applyBorder="1" applyAlignment="1" applyProtection="1">
      <alignment horizontal="center" vertical="center"/>
      <protection hidden="1"/>
    </xf>
    <xf numFmtId="1" fontId="6" fillId="0" borderId="25" xfId="0" applyNumberFormat="1" applyFont="1" applyFill="1" applyBorder="1" applyAlignment="1" applyProtection="1">
      <alignment horizontal="center" vertical="center"/>
      <protection hidden="1"/>
    </xf>
    <xf numFmtId="0" fontId="6" fillId="0" borderId="6" xfId="0" applyFont="1" applyFill="1" applyBorder="1" applyAlignment="1" applyProtection="1">
      <alignment horizontal="center" vertical="center" wrapText="1"/>
      <protection hidden="1"/>
    </xf>
    <xf numFmtId="0" fontId="6" fillId="0" borderId="8" xfId="0" applyFont="1" applyFill="1" applyBorder="1" applyAlignment="1" applyProtection="1">
      <alignment horizontal="center" vertical="center" wrapText="1"/>
      <protection hidden="1"/>
    </xf>
    <xf numFmtId="1" fontId="6" fillId="0" borderId="38" xfId="0" applyNumberFormat="1" applyFont="1" applyFill="1" applyBorder="1" applyAlignment="1" applyProtection="1">
      <alignment horizontal="center" vertical="center"/>
      <protection hidden="1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16" xfId="0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0" fontId="11" fillId="2" borderId="12" xfId="0" applyFont="1" applyFill="1" applyBorder="1" applyAlignment="1" applyProtection="1">
      <alignment horizontal="center" vertical="center" wrapText="1"/>
      <protection locked="0"/>
    </xf>
    <xf numFmtId="0" fontId="11" fillId="2" borderId="7" xfId="0" applyFont="1" applyFill="1" applyBorder="1" applyAlignment="1" applyProtection="1">
      <alignment horizontal="left" vertical="center" wrapText="1"/>
      <protection locked="0"/>
    </xf>
    <xf numFmtId="0" fontId="11" fillId="2" borderId="7" xfId="0" applyFont="1" applyFill="1" applyBorder="1" applyAlignment="1" applyProtection="1">
      <alignment horizontal="center" vertical="center" wrapText="1"/>
      <protection locked="0"/>
    </xf>
    <xf numFmtId="167" fontId="10" fillId="2" borderId="7" xfId="0" applyNumberFormat="1" applyFont="1" applyFill="1" applyBorder="1" applyAlignment="1" applyProtection="1">
      <alignment horizontal="center" vertical="center" wrapText="1"/>
      <protection locked="0"/>
    </xf>
    <xf numFmtId="166" fontId="10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3" xfId="0" applyNumberFormat="1" applyFont="1" applyFill="1" applyBorder="1" applyAlignment="1" applyProtection="1">
      <alignment horizontal="center" vertical="center"/>
    </xf>
    <xf numFmtId="164" fontId="8" fillId="0" borderId="3" xfId="0" applyNumberFormat="1" applyFont="1" applyFill="1" applyBorder="1" applyAlignment="1" applyProtection="1">
      <alignment horizontal="center" vertical="center"/>
    </xf>
    <xf numFmtId="0" fontId="11" fillId="2" borderId="10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left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164" fontId="10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0" fillId="2" borderId="3" xfId="0" applyNumberFormat="1" applyFont="1" applyFill="1" applyBorder="1" applyAlignment="1" applyProtection="1">
      <alignment horizontal="center" vertical="center" wrapText="1"/>
      <protection locked="0"/>
    </xf>
    <xf numFmtId="166" fontId="10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0" fontId="11" fillId="2" borderId="8" xfId="0" applyFont="1" applyFill="1" applyBorder="1" applyAlignment="1" applyProtection="1">
      <alignment horizontal="center" vertical="center" wrapText="1"/>
      <protection locked="0"/>
    </xf>
    <xf numFmtId="166" fontId="10" fillId="2" borderId="41" xfId="0" applyNumberFormat="1" applyFont="1" applyFill="1" applyBorder="1" applyAlignment="1" applyProtection="1">
      <alignment horizontal="center" vertical="center" wrapText="1"/>
      <protection locked="0"/>
    </xf>
    <xf numFmtId="166" fontId="10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51" xfId="0" applyFont="1" applyFill="1" applyBorder="1" applyAlignment="1" applyProtection="1">
      <alignment horizontal="center" vertical="center" wrapText="1"/>
      <protection locked="0"/>
    </xf>
    <xf numFmtId="0" fontId="11" fillId="2" borderId="40" xfId="0" applyFont="1" applyFill="1" applyBorder="1" applyAlignment="1" applyProtection="1">
      <alignment horizontal="left" vertical="center" wrapText="1"/>
      <protection locked="0"/>
    </xf>
    <xf numFmtId="0" fontId="11" fillId="2" borderId="40" xfId="0" applyFont="1" applyFill="1" applyBorder="1" applyAlignment="1" applyProtection="1">
      <alignment horizontal="center" vertical="center" wrapText="1"/>
      <protection locked="0"/>
    </xf>
    <xf numFmtId="166" fontId="10" fillId="2" borderId="40" xfId="0" applyNumberFormat="1" applyFont="1" applyFill="1" applyBorder="1" applyAlignment="1" applyProtection="1">
      <alignment horizontal="center" vertical="center" wrapText="1"/>
      <protection locked="0"/>
    </xf>
    <xf numFmtId="164" fontId="10" fillId="2" borderId="41" xfId="0" applyNumberFormat="1" applyFont="1" applyFill="1" applyBorder="1" applyAlignment="1" applyProtection="1">
      <alignment horizontal="center" vertical="center" wrapText="1"/>
      <protection locked="0"/>
    </xf>
    <xf numFmtId="164" fontId="10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40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40" xfId="0" applyFont="1" applyFill="1" applyBorder="1" applyAlignment="1" applyProtection="1">
      <alignment horizontal="center" vertical="center" wrapText="1"/>
      <protection locked="0"/>
    </xf>
    <xf numFmtId="164" fontId="10" fillId="2" borderId="4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Fill="1" applyBorder="1" applyAlignment="1" applyProtection="1">
      <alignment horizontal="left" vertical="top"/>
      <protection hidden="1"/>
    </xf>
    <xf numFmtId="0" fontId="9" fillId="0" borderId="31" xfId="0" applyFont="1" applyFill="1" applyBorder="1" applyAlignment="1" applyProtection="1">
      <alignment horizontal="left" vertical="top"/>
      <protection hidden="1"/>
    </xf>
    <xf numFmtId="0" fontId="9" fillId="0" borderId="32" xfId="0" applyFont="1" applyFill="1" applyBorder="1" applyAlignment="1" applyProtection="1">
      <alignment horizontal="left" vertical="top"/>
      <protection hidden="1"/>
    </xf>
    <xf numFmtId="0" fontId="1" fillId="2" borderId="28" xfId="0" applyFont="1" applyFill="1" applyBorder="1" applyAlignment="1" applyProtection="1">
      <alignment horizontal="left" vertical="top"/>
      <protection locked="0" hidden="1"/>
    </xf>
    <xf numFmtId="0" fontId="1" fillId="2" borderId="7" xfId="0" applyFont="1" applyFill="1" applyBorder="1" applyAlignment="1" applyProtection="1">
      <alignment horizontal="left" vertical="top"/>
      <protection locked="0" hidden="1"/>
    </xf>
    <xf numFmtId="0" fontId="1" fillId="2" borderId="15" xfId="0" applyFont="1" applyFill="1" applyBorder="1" applyAlignment="1" applyProtection="1">
      <alignment horizontal="left" vertical="top"/>
      <protection locked="0" hidden="1"/>
    </xf>
    <xf numFmtId="0" fontId="1" fillId="2" borderId="2" xfId="0" applyFont="1" applyFill="1" applyBorder="1" applyAlignment="1" applyProtection="1">
      <alignment horizontal="left" vertical="top"/>
      <protection locked="0" hidden="1"/>
    </xf>
    <xf numFmtId="0" fontId="1" fillId="2" borderId="1" xfId="0" applyFont="1" applyFill="1" applyBorder="1" applyAlignment="1" applyProtection="1">
      <alignment horizontal="left" vertical="top"/>
      <protection locked="0" hidden="1"/>
    </xf>
    <xf numFmtId="0" fontId="1" fillId="2" borderId="16" xfId="0" applyFont="1" applyFill="1" applyBorder="1" applyAlignment="1" applyProtection="1">
      <alignment horizontal="left" vertical="top"/>
      <protection locked="0" hidden="1"/>
    </xf>
    <xf numFmtId="0" fontId="1" fillId="2" borderId="29" xfId="0" applyFont="1" applyFill="1" applyBorder="1" applyAlignment="1" applyProtection="1">
      <alignment horizontal="left" vertical="top"/>
      <protection locked="0" hidden="1"/>
    </xf>
    <xf numFmtId="0" fontId="1" fillId="2" borderId="11" xfId="0" applyFont="1" applyFill="1" applyBorder="1" applyAlignment="1" applyProtection="1">
      <alignment horizontal="left" vertical="top"/>
      <protection locked="0" hidden="1"/>
    </xf>
    <xf numFmtId="0" fontId="1" fillId="2" borderId="17" xfId="0" applyFont="1" applyFill="1" applyBorder="1" applyAlignment="1" applyProtection="1">
      <alignment horizontal="left" vertical="top"/>
      <protection locked="0" hidden="1"/>
    </xf>
    <xf numFmtId="0" fontId="9" fillId="0" borderId="12" xfId="0" applyFont="1" applyFill="1" applyBorder="1" applyAlignment="1" applyProtection="1">
      <alignment horizontal="left" vertical="top"/>
      <protection hidden="1"/>
    </xf>
    <xf numFmtId="0" fontId="9" fillId="0" borderId="42" xfId="0" applyFont="1" applyFill="1" applyBorder="1" applyAlignment="1" applyProtection="1">
      <alignment horizontal="left" vertical="top"/>
      <protection hidden="1"/>
    </xf>
    <xf numFmtId="0" fontId="9" fillId="0" borderId="13" xfId="0" applyFont="1" applyFill="1" applyBorder="1" applyAlignment="1" applyProtection="1">
      <alignment horizontal="left" vertical="top"/>
      <protection hidden="1"/>
    </xf>
    <xf numFmtId="0" fontId="9" fillId="0" borderId="43" xfId="0" applyFont="1" applyFill="1" applyBorder="1" applyAlignment="1" applyProtection="1">
      <alignment horizontal="left" vertical="top"/>
      <protection hidden="1"/>
    </xf>
    <xf numFmtId="0" fontId="9" fillId="0" borderId="14" xfId="0" applyFont="1" applyFill="1" applyBorder="1" applyAlignment="1" applyProtection="1">
      <alignment horizontal="left" vertical="top"/>
      <protection hidden="1"/>
    </xf>
    <xf numFmtId="0" fontId="9" fillId="0" borderId="44" xfId="0" applyFont="1" applyFill="1" applyBorder="1" applyAlignment="1" applyProtection="1">
      <alignment horizontal="left" vertical="top"/>
      <protection hidden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4DFEC"/>
      <color rgb="FFFFFF66"/>
      <color rgb="FFB8CCE4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abSelected="1" topLeftCell="A7" zoomScale="40" zoomScaleNormal="40" zoomScaleSheetLayoutView="25" workbookViewId="0">
      <selection activeCell="R31" sqref="R31:R34"/>
    </sheetView>
  </sheetViews>
  <sheetFormatPr defaultColWidth="9.109375" defaultRowHeight="17.100000000000001" customHeight="1" x14ac:dyDescent="0.3"/>
  <cols>
    <col min="1" max="1" width="42.33203125" style="5" customWidth="1"/>
    <col min="2" max="2" width="77" style="5" customWidth="1"/>
    <col min="3" max="3" width="27.6640625" style="5" customWidth="1"/>
    <col min="4" max="4" width="37.77734375" style="5" customWidth="1"/>
    <col min="5" max="5" width="37.109375" style="5" customWidth="1"/>
    <col min="6" max="6" width="20.6640625" style="5" customWidth="1"/>
    <col min="7" max="7" width="21.44140625" style="5" customWidth="1"/>
    <col min="8" max="8" width="20.109375" style="7" customWidth="1"/>
    <col min="9" max="9" width="22" style="5" customWidth="1"/>
    <col min="10" max="10" width="19.5546875" style="5" customWidth="1"/>
    <col min="11" max="11" width="19.33203125" style="5" customWidth="1"/>
    <col min="12" max="12" width="23.109375" style="5" customWidth="1"/>
    <col min="13" max="13" width="24.44140625" style="5" customWidth="1"/>
    <col min="14" max="14" width="24.21875" style="5" customWidth="1"/>
    <col min="15" max="15" width="16.5546875" style="5" customWidth="1"/>
    <col min="16" max="16" width="22.5546875" style="5" customWidth="1"/>
    <col min="17" max="18" width="18.88671875" style="5" customWidth="1"/>
    <col min="19" max="16384" width="9.109375" style="5"/>
  </cols>
  <sheetData>
    <row r="1" spans="1:18" s="8" customFormat="1" ht="34.049999999999997" customHeight="1" x14ac:dyDescent="0.3">
      <c r="A1" s="95" t="s">
        <v>26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7"/>
      <c r="R1" s="98"/>
    </row>
    <row r="2" spans="1:18" s="8" customFormat="1" ht="34.049999999999997" customHeight="1" x14ac:dyDescent="0.3">
      <c r="A2" s="99" t="s">
        <v>47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1"/>
      <c r="R2" s="102"/>
    </row>
    <row r="3" spans="1:18" s="8" customFormat="1" ht="34.049999999999997" customHeight="1" x14ac:dyDescent="0.3">
      <c r="A3" s="99" t="s">
        <v>16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1"/>
      <c r="R3" s="102"/>
    </row>
    <row r="4" spans="1:18" s="8" customFormat="1" ht="34.049999999999997" customHeight="1" thickBot="1" x14ac:dyDescent="0.35">
      <c r="A4" s="103" t="s">
        <v>25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6"/>
    </row>
    <row r="5" spans="1:18" s="4" customFormat="1" ht="17.100000000000001" customHeight="1" thickBot="1" x14ac:dyDescent="0.4">
      <c r="A5" s="11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9"/>
      <c r="Q5" s="19"/>
      <c r="R5" s="12"/>
    </row>
    <row r="6" spans="1:18" s="1" customFormat="1" ht="34.049999999999997" customHeight="1" x14ac:dyDescent="0.5">
      <c r="A6" s="9" t="s">
        <v>17</v>
      </c>
      <c r="B6" s="143" t="s">
        <v>48</v>
      </c>
      <c r="C6" s="144"/>
      <c r="D6" s="144"/>
      <c r="E6" s="144"/>
      <c r="F6" s="144"/>
      <c r="G6" s="144"/>
      <c r="H6" s="145"/>
      <c r="I6" s="42"/>
      <c r="J6" s="139" t="s">
        <v>21</v>
      </c>
      <c r="K6" s="140"/>
      <c r="L6" s="110" t="s">
        <v>51</v>
      </c>
      <c r="M6" s="111"/>
      <c r="N6" s="111"/>
      <c r="O6" s="112"/>
      <c r="P6" s="20"/>
      <c r="Q6" s="20"/>
      <c r="R6" s="25"/>
    </row>
    <row r="7" spans="1:18" s="1" customFormat="1" ht="34.049999999999997" customHeight="1" x14ac:dyDescent="0.5">
      <c r="A7" s="10" t="s">
        <v>18</v>
      </c>
      <c r="B7" s="146" t="s">
        <v>48</v>
      </c>
      <c r="C7" s="147"/>
      <c r="D7" s="147"/>
      <c r="E7" s="147"/>
      <c r="F7" s="147"/>
      <c r="G7" s="147"/>
      <c r="H7" s="148"/>
      <c r="I7" s="42"/>
      <c r="J7" s="141" t="s">
        <v>41</v>
      </c>
      <c r="K7" s="142"/>
      <c r="L7" s="113" t="s">
        <v>52</v>
      </c>
      <c r="M7" s="114"/>
      <c r="N7" s="114"/>
      <c r="O7" s="115"/>
      <c r="P7" s="43"/>
      <c r="Q7" s="43"/>
      <c r="R7" s="44"/>
    </row>
    <row r="8" spans="1:18" s="1" customFormat="1" ht="34.049999999999997" customHeight="1" x14ac:dyDescent="0.5">
      <c r="A8" s="10" t="s">
        <v>19</v>
      </c>
      <c r="B8" s="146" t="s">
        <v>49</v>
      </c>
      <c r="C8" s="147"/>
      <c r="D8" s="147"/>
      <c r="E8" s="147"/>
      <c r="F8" s="147"/>
      <c r="G8" s="147"/>
      <c r="H8" s="148"/>
      <c r="I8" s="42"/>
      <c r="J8" s="141" t="s">
        <v>66</v>
      </c>
      <c r="K8" s="142"/>
      <c r="L8" s="116"/>
      <c r="M8" s="114"/>
      <c r="N8" s="114"/>
      <c r="O8" s="115"/>
      <c r="P8" s="43"/>
      <c r="Q8" s="43"/>
      <c r="R8" s="44"/>
    </row>
    <row r="9" spans="1:18" s="1" customFormat="1" ht="34.049999999999997" customHeight="1" thickBot="1" x14ac:dyDescent="0.55000000000000004">
      <c r="A9" s="18" t="s">
        <v>20</v>
      </c>
      <c r="B9" s="149" t="s">
        <v>50</v>
      </c>
      <c r="C9" s="150"/>
      <c r="D9" s="150"/>
      <c r="E9" s="150"/>
      <c r="F9" s="150"/>
      <c r="G9" s="150"/>
      <c r="H9" s="151"/>
      <c r="I9" s="20"/>
      <c r="J9" s="117" t="s">
        <v>22</v>
      </c>
      <c r="K9" s="118"/>
      <c r="L9" s="119">
        <v>45699</v>
      </c>
      <c r="M9" s="120"/>
      <c r="N9" s="120"/>
      <c r="O9" s="121"/>
      <c r="P9" s="42"/>
      <c r="Q9" s="42"/>
      <c r="R9" s="45"/>
    </row>
    <row r="10" spans="1:18" ht="10.8" customHeight="1" thickBot="1" x14ac:dyDescent="0.55000000000000004">
      <c r="A10" s="46"/>
      <c r="B10" s="32"/>
      <c r="C10" s="32"/>
      <c r="D10" s="32"/>
      <c r="E10" s="32"/>
      <c r="F10" s="32"/>
      <c r="G10" s="32"/>
      <c r="H10" s="47"/>
      <c r="I10" s="32"/>
      <c r="J10" s="32"/>
      <c r="K10" s="32"/>
      <c r="L10" s="32"/>
      <c r="M10" s="32"/>
      <c r="N10" s="32"/>
      <c r="O10" s="47"/>
      <c r="P10" s="32"/>
      <c r="Q10" s="32"/>
      <c r="R10" s="48"/>
    </row>
    <row r="11" spans="1:18" ht="36" customHeight="1" thickBot="1" x14ac:dyDescent="0.35">
      <c r="A11" s="107" t="s">
        <v>23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9"/>
    </row>
    <row r="12" spans="1:18" ht="15" customHeight="1" thickBot="1" x14ac:dyDescent="0.55000000000000004">
      <c r="A12" s="46"/>
      <c r="B12" s="32"/>
      <c r="C12" s="32"/>
      <c r="D12" s="32"/>
      <c r="E12" s="32"/>
      <c r="F12" s="32"/>
      <c r="G12" s="32"/>
      <c r="H12" s="47"/>
      <c r="I12" s="32"/>
      <c r="J12" s="32"/>
      <c r="K12" s="32"/>
      <c r="L12" s="32"/>
      <c r="M12" s="32"/>
      <c r="N12" s="32"/>
      <c r="O12" s="32"/>
      <c r="P12" s="32"/>
      <c r="Q12" s="32"/>
      <c r="R12" s="48"/>
    </row>
    <row r="13" spans="1:18" ht="34.049999999999997" customHeight="1" x14ac:dyDescent="0.5">
      <c r="A13" s="129" t="s">
        <v>42</v>
      </c>
      <c r="B13" s="130"/>
      <c r="C13" s="26" t="s">
        <v>69</v>
      </c>
      <c r="D13" s="26" t="s">
        <v>3</v>
      </c>
      <c r="E13" s="26" t="s">
        <v>4</v>
      </c>
      <c r="F13" s="26" t="s">
        <v>3</v>
      </c>
      <c r="G13" s="26" t="s">
        <v>4</v>
      </c>
      <c r="H13" s="26" t="s">
        <v>3</v>
      </c>
      <c r="I13" s="27" t="s">
        <v>70</v>
      </c>
      <c r="J13" s="27" t="s">
        <v>46</v>
      </c>
      <c r="K13" s="28" t="s">
        <v>15</v>
      </c>
      <c r="L13" s="29" t="s">
        <v>38</v>
      </c>
      <c r="M13" s="32"/>
      <c r="N13" s="32"/>
      <c r="O13" s="137" t="s">
        <v>44</v>
      </c>
      <c r="P13" s="133" t="s">
        <v>5</v>
      </c>
      <c r="Q13" s="133"/>
      <c r="R13" s="134"/>
    </row>
    <row r="14" spans="1:18" ht="43.5" customHeight="1" thickBot="1" x14ac:dyDescent="0.55000000000000004">
      <c r="A14" s="131" t="s">
        <v>53</v>
      </c>
      <c r="B14" s="132"/>
      <c r="C14" s="74">
        <v>50.59</v>
      </c>
      <c r="D14" s="49">
        <v>100</v>
      </c>
      <c r="E14" s="49">
        <v>10</v>
      </c>
      <c r="F14" s="49">
        <v>50</v>
      </c>
      <c r="G14" s="49">
        <v>1</v>
      </c>
      <c r="H14" s="49">
        <v>1</v>
      </c>
      <c r="I14" s="49">
        <v>1</v>
      </c>
      <c r="J14" s="49">
        <v>1</v>
      </c>
      <c r="K14" s="49">
        <v>99.64</v>
      </c>
      <c r="L14" s="50">
        <f>IFERROR((C14/D14*E14/F14*G14/H14*I14/J14*K14/100*1000), "")</f>
        <v>100.815752</v>
      </c>
      <c r="M14" s="32"/>
      <c r="N14" s="32"/>
      <c r="O14" s="138"/>
      <c r="P14" s="135" t="s">
        <v>27</v>
      </c>
      <c r="Q14" s="135" t="s">
        <v>28</v>
      </c>
      <c r="R14" s="136"/>
    </row>
    <row r="15" spans="1:18" ht="23.25" customHeight="1" thickBot="1" x14ac:dyDescent="0.55000000000000004">
      <c r="A15" s="51"/>
      <c r="B15" s="52"/>
      <c r="C15" s="52"/>
      <c r="D15" s="52"/>
      <c r="E15" s="52"/>
      <c r="F15" s="47"/>
      <c r="G15" s="47"/>
      <c r="H15" s="47"/>
      <c r="I15" s="32"/>
      <c r="J15" s="32"/>
      <c r="K15" s="47"/>
      <c r="L15" s="53"/>
      <c r="M15" s="32"/>
      <c r="N15" s="32"/>
      <c r="O15" s="138"/>
      <c r="P15" s="135"/>
      <c r="Q15" s="135"/>
      <c r="R15" s="136"/>
    </row>
    <row r="16" spans="1:18" ht="34.049999999999997" customHeight="1" thickBot="1" x14ac:dyDescent="0.55000000000000004">
      <c r="A16" s="206" t="s">
        <v>45</v>
      </c>
      <c r="B16" s="30" t="str">
        <f>A14</f>
        <v>Bupivacaine</v>
      </c>
      <c r="C16" s="31"/>
      <c r="D16" s="206" t="s">
        <v>37</v>
      </c>
      <c r="E16" s="196" t="str">
        <f>B16</f>
        <v>Bupivacaine</v>
      </c>
      <c r="F16" s="197"/>
      <c r="G16" s="32"/>
      <c r="H16" s="206" t="s">
        <v>37</v>
      </c>
      <c r="I16" s="196" t="str">
        <f>E16</f>
        <v>Bupivacaine</v>
      </c>
      <c r="J16" s="197"/>
      <c r="K16" s="32"/>
      <c r="L16" s="53"/>
      <c r="M16" s="32"/>
      <c r="N16" s="32"/>
      <c r="O16" s="33">
        <v>1</v>
      </c>
      <c r="P16" s="54">
        <f t="shared" ref="P16:P22" si="0">B18</f>
        <v>2387569</v>
      </c>
      <c r="Q16" s="209">
        <v>2387736</v>
      </c>
      <c r="R16" s="210"/>
    </row>
    <row r="17" spans="1:18" ht="34.049999999999997" customHeight="1" x14ac:dyDescent="0.5">
      <c r="A17" s="207"/>
      <c r="B17" s="34" t="s">
        <v>39</v>
      </c>
      <c r="C17" s="31"/>
      <c r="D17" s="207"/>
      <c r="E17" s="198" t="s">
        <v>40</v>
      </c>
      <c r="F17" s="199"/>
      <c r="G17" s="32"/>
      <c r="H17" s="207"/>
      <c r="I17" s="198" t="s">
        <v>40</v>
      </c>
      <c r="J17" s="199"/>
      <c r="K17" s="32"/>
      <c r="L17" s="35" t="s">
        <v>30</v>
      </c>
      <c r="M17" s="36" t="s">
        <v>32</v>
      </c>
      <c r="N17" s="32"/>
      <c r="O17" s="33">
        <v>2</v>
      </c>
      <c r="P17" s="54">
        <f t="shared" si="0"/>
        <v>2388066</v>
      </c>
      <c r="Q17" s="209">
        <v>2388617</v>
      </c>
      <c r="R17" s="210"/>
    </row>
    <row r="18" spans="1:18" ht="34.049999999999997" customHeight="1" x14ac:dyDescent="0.5">
      <c r="A18" s="37">
        <v>1</v>
      </c>
      <c r="B18" s="55">
        <v>2387569</v>
      </c>
      <c r="C18" s="31"/>
      <c r="D18" s="56">
        <v>1</v>
      </c>
      <c r="E18" s="200">
        <v>2391925</v>
      </c>
      <c r="F18" s="201"/>
      <c r="G18" s="32"/>
      <c r="H18" s="56">
        <v>7</v>
      </c>
      <c r="I18" s="200"/>
      <c r="J18" s="201"/>
      <c r="K18" s="32"/>
      <c r="L18" s="33" t="s">
        <v>29</v>
      </c>
      <c r="M18" s="57">
        <f>C14</f>
        <v>50.59</v>
      </c>
      <c r="N18" s="32"/>
      <c r="O18" s="33">
        <v>3</v>
      </c>
      <c r="P18" s="54">
        <f t="shared" si="0"/>
        <v>2392223</v>
      </c>
      <c r="Q18" s="127"/>
      <c r="R18" s="128"/>
    </row>
    <row r="19" spans="1:18" ht="33.6" customHeight="1" thickBot="1" x14ac:dyDescent="0.55000000000000004">
      <c r="A19" s="37">
        <v>2</v>
      </c>
      <c r="B19" s="55">
        <v>2388066</v>
      </c>
      <c r="C19" s="31"/>
      <c r="D19" s="56">
        <v>2</v>
      </c>
      <c r="E19" s="200">
        <v>2389666</v>
      </c>
      <c r="F19" s="201"/>
      <c r="G19" s="32"/>
      <c r="H19" s="56">
        <v>8</v>
      </c>
      <c r="I19" s="200"/>
      <c r="J19" s="201"/>
      <c r="K19" s="32"/>
      <c r="L19" s="38" t="s">
        <v>31</v>
      </c>
      <c r="M19" s="58">
        <v>50.47</v>
      </c>
      <c r="N19" s="32"/>
      <c r="O19" s="33">
        <v>4</v>
      </c>
      <c r="P19" s="54">
        <f t="shared" si="0"/>
        <v>2389532</v>
      </c>
      <c r="Q19" s="127"/>
      <c r="R19" s="128"/>
    </row>
    <row r="20" spans="1:18" ht="34.049999999999997" customHeight="1" x14ac:dyDescent="0.5">
      <c r="A20" s="37">
        <v>3</v>
      </c>
      <c r="B20" s="55">
        <v>2392223</v>
      </c>
      <c r="C20" s="31"/>
      <c r="D20" s="56">
        <v>3</v>
      </c>
      <c r="E20" s="200"/>
      <c r="F20" s="201"/>
      <c r="G20" s="32"/>
      <c r="H20" s="56">
        <v>9</v>
      </c>
      <c r="I20" s="200"/>
      <c r="J20" s="201"/>
      <c r="K20" s="32"/>
      <c r="L20" s="53"/>
      <c r="M20" s="32"/>
      <c r="N20" s="32"/>
      <c r="O20" s="33">
        <v>5</v>
      </c>
      <c r="P20" s="54">
        <f t="shared" si="0"/>
        <v>2382677</v>
      </c>
      <c r="Q20" s="127"/>
      <c r="R20" s="128"/>
    </row>
    <row r="21" spans="1:18" ht="34.049999999999997" customHeight="1" x14ac:dyDescent="0.5">
      <c r="A21" s="37">
        <v>4</v>
      </c>
      <c r="B21" s="55">
        <v>2389532</v>
      </c>
      <c r="C21" s="31"/>
      <c r="D21" s="56">
        <v>4</v>
      </c>
      <c r="E21" s="200"/>
      <c r="F21" s="201"/>
      <c r="G21" s="32"/>
      <c r="H21" s="56">
        <v>10</v>
      </c>
      <c r="I21" s="200"/>
      <c r="J21" s="201"/>
      <c r="K21" s="32"/>
      <c r="L21" s="53"/>
      <c r="M21" s="32"/>
      <c r="N21" s="32"/>
      <c r="O21" s="33">
        <v>6</v>
      </c>
      <c r="P21" s="54">
        <f t="shared" si="0"/>
        <v>0</v>
      </c>
      <c r="Q21" s="127"/>
      <c r="R21" s="128"/>
    </row>
    <row r="22" spans="1:18" ht="34.049999999999997" customHeight="1" x14ac:dyDescent="0.5">
      <c r="A22" s="37">
        <v>5</v>
      </c>
      <c r="B22" s="55">
        <v>2382677</v>
      </c>
      <c r="C22" s="31"/>
      <c r="D22" s="56">
        <v>5</v>
      </c>
      <c r="E22" s="200"/>
      <c r="F22" s="201"/>
      <c r="G22" s="32"/>
      <c r="H22" s="56">
        <v>11</v>
      </c>
      <c r="I22" s="200"/>
      <c r="J22" s="201"/>
      <c r="K22" s="32"/>
      <c r="L22" s="53"/>
      <c r="M22" s="32"/>
      <c r="N22" s="32"/>
      <c r="O22" s="33" t="s">
        <v>0</v>
      </c>
      <c r="P22" s="59">
        <f t="shared" si="0"/>
        <v>2388013.4</v>
      </c>
      <c r="Q22" s="211">
        <f>IFERROR((AVERAGE(Q16:Q17)), "")</f>
        <v>2388176.5</v>
      </c>
      <c r="R22" s="212"/>
    </row>
    <row r="23" spans="1:18" ht="34.049999999999997" customHeight="1" thickBot="1" x14ac:dyDescent="0.55000000000000004">
      <c r="A23" s="39">
        <v>6</v>
      </c>
      <c r="B23" s="60"/>
      <c r="C23" s="31"/>
      <c r="D23" s="61">
        <v>6</v>
      </c>
      <c r="E23" s="202"/>
      <c r="F23" s="203"/>
      <c r="G23" s="32"/>
      <c r="H23" s="56">
        <v>12</v>
      </c>
      <c r="I23" s="202"/>
      <c r="J23" s="203"/>
      <c r="K23" s="32"/>
      <c r="L23" s="53"/>
      <c r="M23" s="32"/>
      <c r="N23" s="32"/>
      <c r="O23" s="138" t="s">
        <v>36</v>
      </c>
      <c r="P23" s="135"/>
      <c r="Q23" s="123">
        <f>IFERROR((TRUNC((P22/Q22*M19/M18),3)), "")*100</f>
        <v>99.7</v>
      </c>
      <c r="R23" s="124"/>
    </row>
    <row r="24" spans="1:18" ht="34.049999999999997" customHeight="1" thickBot="1" x14ac:dyDescent="0.55000000000000004">
      <c r="A24" s="40" t="s">
        <v>0</v>
      </c>
      <c r="B24" s="62">
        <f>IFERROR((AVERAGE(B18:B23)), "")</f>
        <v>2388013.4</v>
      </c>
      <c r="C24" s="31"/>
      <c r="D24" s="40" t="s">
        <v>0</v>
      </c>
      <c r="E24" s="208">
        <f>IFERROR((AVERAGE(E18:E23,B18:B23)), "")</f>
        <v>2388808.2857142859</v>
      </c>
      <c r="F24" s="205"/>
      <c r="G24" s="32"/>
      <c r="H24" s="63" t="s">
        <v>0</v>
      </c>
      <c r="I24" s="204">
        <f>IFERROR((AVERAGE(B18:B23,I18:I23,E18:E23)), "")</f>
        <v>2388808.2857142859</v>
      </c>
      <c r="J24" s="205"/>
      <c r="K24" s="32"/>
      <c r="L24" s="53"/>
      <c r="M24" s="32"/>
      <c r="N24" s="32"/>
      <c r="O24" s="152"/>
      <c r="P24" s="153"/>
      <c r="Q24" s="125"/>
      <c r="R24" s="126"/>
    </row>
    <row r="25" spans="1:18" ht="34.049999999999997" customHeight="1" thickBot="1" x14ac:dyDescent="0.55000000000000004">
      <c r="A25" s="41" t="s">
        <v>1</v>
      </c>
      <c r="B25" s="64">
        <f>IFERROR((STDEV(B18:B23)), "")</f>
        <v>3489.4233477753887</v>
      </c>
      <c r="C25" s="31"/>
      <c r="D25" s="65" t="s">
        <v>1</v>
      </c>
      <c r="E25" s="192">
        <f>IFERROR((STDEV(B18:B23,E18:E23)), "")</f>
        <v>3222.6567566882718</v>
      </c>
      <c r="F25" s="193"/>
      <c r="G25" s="32"/>
      <c r="H25" s="66" t="s">
        <v>1</v>
      </c>
      <c r="I25" s="192">
        <f>IFERROR((STDEV(B18:B23,E18:E23,I18:I23)), "")</f>
        <v>3222.6567566882718</v>
      </c>
      <c r="J25" s="193"/>
      <c r="K25" s="32"/>
      <c r="L25" s="32"/>
      <c r="M25" s="32"/>
      <c r="N25" s="32"/>
      <c r="O25" s="32"/>
      <c r="P25" s="32"/>
      <c r="Q25" s="32"/>
      <c r="R25" s="48"/>
    </row>
    <row r="26" spans="1:18" ht="34.049999999999997" customHeight="1" thickBot="1" x14ac:dyDescent="0.55000000000000004">
      <c r="A26" s="40" t="s">
        <v>2</v>
      </c>
      <c r="B26" s="40">
        <f>IFERROR((B25*100/B24), "")</f>
        <v>0.1461224358194719</v>
      </c>
      <c r="C26" s="31"/>
      <c r="D26" s="40" t="s">
        <v>2</v>
      </c>
      <c r="E26" s="194">
        <f>IFERROR((E25*100/E24), "")</f>
        <v>0.13490646260566927</v>
      </c>
      <c r="F26" s="195"/>
      <c r="G26" s="32"/>
      <c r="H26" s="67" t="s">
        <v>2</v>
      </c>
      <c r="I26" s="194">
        <f>IFERROR((I25*100/I24), "")</f>
        <v>0.13490646260566927</v>
      </c>
      <c r="J26" s="195"/>
      <c r="K26" s="32"/>
      <c r="L26" s="32"/>
      <c r="M26" s="32"/>
      <c r="N26" s="32"/>
      <c r="O26" s="32"/>
      <c r="P26" s="32"/>
      <c r="Q26" s="32"/>
      <c r="R26" s="48"/>
    </row>
    <row r="27" spans="1:18" ht="26.25" customHeight="1" thickBot="1" x14ac:dyDescent="0.4">
      <c r="A27" s="11"/>
      <c r="B27" s="2"/>
      <c r="C27" s="2"/>
      <c r="D27" s="2"/>
      <c r="E27" s="2"/>
      <c r="F27" s="3"/>
      <c r="G27" s="3"/>
      <c r="H27" s="2"/>
      <c r="I27" s="2"/>
      <c r="J27" s="2"/>
      <c r="K27" s="2"/>
      <c r="L27" s="2"/>
      <c r="M27" s="2"/>
      <c r="N27" s="2"/>
      <c r="O27" s="2"/>
      <c r="P27" s="14"/>
      <c r="Q27" s="14"/>
      <c r="R27" s="13"/>
    </row>
    <row r="28" spans="1:18" ht="36" customHeight="1" thickBot="1" x14ac:dyDescent="0.35">
      <c r="A28" s="75" t="s">
        <v>24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7"/>
    </row>
    <row r="29" spans="1:18" ht="17.100000000000001" customHeight="1" thickBot="1" x14ac:dyDescent="0.65">
      <c r="A29" s="21"/>
      <c r="B29" s="22"/>
      <c r="C29" s="22"/>
      <c r="D29" s="22"/>
      <c r="E29" s="22"/>
      <c r="F29" s="23"/>
      <c r="G29" s="23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4"/>
    </row>
    <row r="30" spans="1:18" ht="72.75" customHeight="1" thickBot="1" x14ac:dyDescent="0.35">
      <c r="A30" s="68" t="s">
        <v>14</v>
      </c>
      <c r="B30" s="69" t="s">
        <v>13</v>
      </c>
      <c r="C30" s="69" t="s">
        <v>34</v>
      </c>
      <c r="D30" s="69" t="s">
        <v>9</v>
      </c>
      <c r="E30" s="69" t="s">
        <v>10</v>
      </c>
      <c r="F30" s="69" t="s">
        <v>35</v>
      </c>
      <c r="G30" s="69" t="s">
        <v>43</v>
      </c>
      <c r="H30" s="69" t="s">
        <v>33</v>
      </c>
      <c r="I30" s="69" t="s">
        <v>3</v>
      </c>
      <c r="J30" s="69" t="s">
        <v>4</v>
      </c>
      <c r="K30" s="69" t="s">
        <v>3</v>
      </c>
      <c r="L30" s="69" t="s">
        <v>6</v>
      </c>
      <c r="M30" s="69" t="s">
        <v>7</v>
      </c>
      <c r="N30" s="70" t="s">
        <v>67</v>
      </c>
      <c r="O30" s="71" t="s">
        <v>8</v>
      </c>
      <c r="P30" s="71" t="s">
        <v>68</v>
      </c>
      <c r="Q30" s="72" t="s">
        <v>64</v>
      </c>
      <c r="R30" s="73" t="s">
        <v>65</v>
      </c>
    </row>
    <row r="31" spans="1:18" ht="30" customHeight="1" x14ac:dyDescent="0.3">
      <c r="A31" s="213" t="s">
        <v>54</v>
      </c>
      <c r="B31" s="214" t="s">
        <v>55</v>
      </c>
      <c r="C31" s="215" t="s">
        <v>57</v>
      </c>
      <c r="D31" s="215" t="s">
        <v>58</v>
      </c>
      <c r="E31" s="215" t="s">
        <v>59</v>
      </c>
      <c r="F31" s="216">
        <v>1.0049999999999999</v>
      </c>
      <c r="G31" s="217">
        <v>13.3</v>
      </c>
      <c r="H31" s="216">
        <v>0.7621</v>
      </c>
      <c r="I31" s="218">
        <v>100</v>
      </c>
      <c r="J31" s="224">
        <v>1</v>
      </c>
      <c r="K31" s="218">
        <v>1</v>
      </c>
      <c r="L31" s="172">
        <v>2496042</v>
      </c>
      <c r="M31" s="172"/>
      <c r="N31" s="173">
        <f>IFERROR((AVERAGE(L31:M32)), "")</f>
        <v>2496042</v>
      </c>
      <c r="O31" s="167">
        <f>IFERROR((N31/$B$24*$C$14/$D$14*$E$14/$F$14*$G$14/$H$14*K31/J31*I31/H31*F31/G31*$K$14*$I$14/$J$14), "")</f>
        <v>104.48308384718301</v>
      </c>
      <c r="P31" s="176">
        <f>IFERROR((AVERAGE(O31:O34)), "")</f>
        <v>103.72504828813589</v>
      </c>
      <c r="Q31" s="87">
        <f>IFERROR((N31/$B$24*$C$14/$D$14*$E$14/$F$14*$G$14/$H$14*$I$14/$J$14*I31/H31*K31/J31*F31/1*$K$14/100), "")</f>
        <v>13.896250151675343</v>
      </c>
      <c r="R31" s="89">
        <f>IFERROR((AVERAGE(Q31:Q34)), "")</f>
        <v>13.795431422322077</v>
      </c>
    </row>
    <row r="32" spans="1:18" ht="30" customHeight="1" x14ac:dyDescent="0.3">
      <c r="A32" s="178"/>
      <c r="B32" s="180"/>
      <c r="C32" s="182"/>
      <c r="D32" s="182"/>
      <c r="E32" s="182"/>
      <c r="F32" s="184"/>
      <c r="G32" s="186"/>
      <c r="H32" s="184"/>
      <c r="I32" s="188"/>
      <c r="J32" s="190"/>
      <c r="K32" s="188"/>
      <c r="L32" s="162"/>
      <c r="M32" s="162"/>
      <c r="N32" s="219"/>
      <c r="O32" s="167"/>
      <c r="P32" s="176"/>
      <c r="Q32" s="94"/>
      <c r="R32" s="90"/>
    </row>
    <row r="33" spans="1:18" ht="30" customHeight="1" x14ac:dyDescent="0.3">
      <c r="A33" s="178" t="s">
        <v>54</v>
      </c>
      <c r="B33" s="180" t="s">
        <v>56</v>
      </c>
      <c r="C33" s="182" t="s">
        <v>57</v>
      </c>
      <c r="D33" s="182" t="s">
        <v>58</v>
      </c>
      <c r="E33" s="182" t="s">
        <v>59</v>
      </c>
      <c r="F33" s="184">
        <v>1.0049999999999999</v>
      </c>
      <c r="G33" s="186">
        <v>13.3</v>
      </c>
      <c r="H33" s="184">
        <v>0.74690000000000001</v>
      </c>
      <c r="I33" s="188">
        <v>100</v>
      </c>
      <c r="J33" s="190">
        <v>1</v>
      </c>
      <c r="K33" s="188">
        <v>1</v>
      </c>
      <c r="L33" s="162">
        <v>2410763</v>
      </c>
      <c r="M33" s="162"/>
      <c r="N33" s="164">
        <f t="shared" ref="N33" si="1">IFERROR((AVERAGE(L33:M34)), "")</f>
        <v>2410763</v>
      </c>
      <c r="O33" s="167">
        <f>IFERROR((N33/$B$24*$C$14/$D$14*$E$14/$F$14*$G$14/$H$14*K33/J33*I33/H33*F33/G33*$K$14*$I$14/$J$14), "")</f>
        <v>102.96701272908879</v>
      </c>
      <c r="P33" s="176"/>
      <c r="Q33" s="87">
        <f t="shared" ref="Q33" si="2">IFERROR((N33/$B$24*$C$14/$D$14*$E$14/$F$14*$G$14/$H$14*$I$14/$J$14*I33/H33*K33/J33*F33/1*$K$14/100), "")</f>
        <v>13.694612692968811</v>
      </c>
      <c r="R33" s="90"/>
    </row>
    <row r="34" spans="1:18" ht="30" customHeight="1" thickBot="1" x14ac:dyDescent="0.35">
      <c r="A34" s="221"/>
      <c r="B34" s="222"/>
      <c r="C34" s="223"/>
      <c r="D34" s="223"/>
      <c r="E34" s="223"/>
      <c r="F34" s="154"/>
      <c r="G34" s="227"/>
      <c r="H34" s="154"/>
      <c r="I34" s="225"/>
      <c r="J34" s="226"/>
      <c r="K34" s="225"/>
      <c r="L34" s="228"/>
      <c r="M34" s="228"/>
      <c r="N34" s="219"/>
      <c r="O34" s="87"/>
      <c r="P34" s="220"/>
      <c r="Q34" s="122"/>
      <c r="R34" s="90"/>
    </row>
    <row r="35" spans="1:18" ht="30" customHeight="1" x14ac:dyDescent="0.3">
      <c r="A35" s="213" t="s">
        <v>60</v>
      </c>
      <c r="B35" s="214" t="s">
        <v>61</v>
      </c>
      <c r="C35" s="215" t="s">
        <v>57</v>
      </c>
      <c r="D35" s="215" t="s">
        <v>62</v>
      </c>
      <c r="E35" s="215" t="s">
        <v>63</v>
      </c>
      <c r="F35" s="216">
        <v>1.0049999999999999</v>
      </c>
      <c r="G35" s="217">
        <v>13.3</v>
      </c>
      <c r="H35" s="216">
        <v>0.76459999999999995</v>
      </c>
      <c r="I35" s="218">
        <v>100</v>
      </c>
      <c r="J35" s="224">
        <v>1</v>
      </c>
      <c r="K35" s="218">
        <v>1</v>
      </c>
      <c r="L35" s="172">
        <v>2383966</v>
      </c>
      <c r="M35" s="172"/>
      <c r="N35" s="173">
        <f t="shared" ref="N35" si="3">IFERROR((AVERAGE(L35:M36)), "")</f>
        <v>2383966</v>
      </c>
      <c r="O35" s="166">
        <f>IFERROR((N35/$B$24*$C$14/$D$14*$E$14/$F$14*$G$14/$H$14*K35/J35*I35/H35*F35/G35*$K$14*$I$14/$J$14), "")</f>
        <v>99.465350836498942</v>
      </c>
      <c r="P35" s="175">
        <f>IFERROR((AVERAGE(O35:O38)), "")</f>
        <v>99.465350836498942</v>
      </c>
      <c r="Q35" s="93">
        <f t="shared" ref="Q35" si="4">IFERROR((N35/$B$24*$C$14/$D$14*$E$14/$F$14*$G$14/$H$14*$I$14/$J$14*I35/H35*K35/J35*F35/1*$K$14/100), "")</f>
        <v>13.228891661254361</v>
      </c>
      <c r="R35" s="91">
        <f>IFERROR((AVERAGE(Q35:Q38)), "")</f>
        <v>13.228891661254361</v>
      </c>
    </row>
    <row r="36" spans="1:18" ht="30" customHeight="1" x14ac:dyDescent="0.3">
      <c r="A36" s="178"/>
      <c r="B36" s="180"/>
      <c r="C36" s="182"/>
      <c r="D36" s="182"/>
      <c r="E36" s="182"/>
      <c r="F36" s="184"/>
      <c r="G36" s="186"/>
      <c r="H36" s="184"/>
      <c r="I36" s="188"/>
      <c r="J36" s="190"/>
      <c r="K36" s="188"/>
      <c r="L36" s="162"/>
      <c r="M36" s="162"/>
      <c r="N36" s="164"/>
      <c r="O36" s="167"/>
      <c r="P36" s="176"/>
      <c r="Q36" s="94"/>
      <c r="R36" s="90"/>
    </row>
    <row r="37" spans="1:18" ht="30" customHeight="1" x14ac:dyDescent="0.3">
      <c r="A37" s="178"/>
      <c r="B37" s="180"/>
      <c r="C37" s="182"/>
      <c r="D37" s="182"/>
      <c r="E37" s="182"/>
      <c r="F37" s="184"/>
      <c r="G37" s="186"/>
      <c r="H37" s="184"/>
      <c r="I37" s="188"/>
      <c r="J37" s="190"/>
      <c r="K37" s="188"/>
      <c r="L37" s="162"/>
      <c r="M37" s="162"/>
      <c r="N37" s="164" t="str">
        <f t="shared" ref="N37" si="5">IFERROR((AVERAGE(L37:M38)), "")</f>
        <v/>
      </c>
      <c r="O37" s="167" t="str">
        <f>IFERROR((N37/$B$24*$C$14/$D$14*$E$14/$F$14*$G$14/$H$14*K37/J37*I37/H37*F37/G37*$K$14*$I$14/$J$14), "")</f>
        <v/>
      </c>
      <c r="P37" s="176"/>
      <c r="Q37" s="87" t="str">
        <f t="shared" ref="Q37" si="6">IFERROR((N37/$B$24*$C$14/$D$14*$E$14/$F$14*$G$14/$H$14*$I$14/$J$14*I37/H37*K37/J37*F37/1*$K$14/100), "")</f>
        <v/>
      </c>
      <c r="R37" s="90"/>
    </row>
    <row r="38" spans="1:18" ht="30" customHeight="1" thickBot="1" x14ac:dyDescent="0.35">
      <c r="A38" s="179"/>
      <c r="B38" s="181"/>
      <c r="C38" s="183"/>
      <c r="D38" s="183"/>
      <c r="E38" s="183"/>
      <c r="F38" s="185"/>
      <c r="G38" s="187"/>
      <c r="H38" s="185"/>
      <c r="I38" s="189"/>
      <c r="J38" s="191"/>
      <c r="K38" s="189"/>
      <c r="L38" s="163"/>
      <c r="M38" s="163"/>
      <c r="N38" s="165"/>
      <c r="O38" s="174"/>
      <c r="P38" s="177"/>
      <c r="Q38" s="88"/>
      <c r="R38" s="92"/>
    </row>
    <row r="39" spans="1:18" ht="30" customHeight="1" x14ac:dyDescent="0.3">
      <c r="A39" s="229"/>
      <c r="B39" s="156"/>
      <c r="C39" s="158"/>
      <c r="D39" s="158"/>
      <c r="E39" s="158"/>
      <c r="F39" s="160"/>
      <c r="G39" s="231"/>
      <c r="H39" s="160"/>
      <c r="I39" s="168"/>
      <c r="J39" s="237"/>
      <c r="K39" s="168"/>
      <c r="L39" s="170"/>
      <c r="M39" s="172"/>
      <c r="N39" s="173" t="str">
        <f t="shared" ref="N39" si="7">IFERROR((AVERAGE(L39:M40)), "")</f>
        <v/>
      </c>
      <c r="O39" s="166" t="str">
        <f>IFERROR((N39/$B$24*$C$14/$D$14*$E$14/$F$14*$G$14/$H$14*K39/J39*I39/H39*F39/G39*$K$14*$I$14/$J$14), "")</f>
        <v/>
      </c>
      <c r="P39" s="175" t="str">
        <f>IFERROR((AVERAGE(O39:O42)), "")</f>
        <v/>
      </c>
      <c r="Q39" s="93" t="str">
        <f t="shared" ref="Q39" si="8">IFERROR((N39/$B$24*$C$14/$D$14*$E$14/$F$14*$G$14/$H$14*$I$14/$J$14*I39/H39*K39/J39*F39/1*$K$14/100), "")</f>
        <v/>
      </c>
      <c r="R39" s="91" t="str">
        <f>IFERROR((AVERAGE(Q39:Q42)), "")</f>
        <v/>
      </c>
    </row>
    <row r="40" spans="1:18" ht="30" customHeight="1" x14ac:dyDescent="0.3">
      <c r="A40" s="230"/>
      <c r="B40" s="157"/>
      <c r="C40" s="159"/>
      <c r="D40" s="159"/>
      <c r="E40" s="159"/>
      <c r="F40" s="161"/>
      <c r="G40" s="232"/>
      <c r="H40" s="161"/>
      <c r="I40" s="169"/>
      <c r="J40" s="238"/>
      <c r="K40" s="169"/>
      <c r="L40" s="171"/>
      <c r="M40" s="162"/>
      <c r="N40" s="164"/>
      <c r="O40" s="167"/>
      <c r="P40" s="176"/>
      <c r="Q40" s="94"/>
      <c r="R40" s="90"/>
    </row>
    <row r="41" spans="1:18" ht="30" customHeight="1" x14ac:dyDescent="0.3">
      <c r="A41" s="221"/>
      <c r="B41" s="222"/>
      <c r="C41" s="223"/>
      <c r="D41" s="223"/>
      <c r="E41" s="223"/>
      <c r="F41" s="154"/>
      <c r="G41" s="227"/>
      <c r="H41" s="154"/>
      <c r="I41" s="225"/>
      <c r="J41" s="226"/>
      <c r="K41" s="225"/>
      <c r="L41" s="228"/>
      <c r="M41" s="162"/>
      <c r="N41" s="164" t="str">
        <f t="shared" ref="N41" si="9">IFERROR((AVERAGE(L41:M42)), "")</f>
        <v/>
      </c>
      <c r="O41" s="167" t="str">
        <f>IFERROR((N41/$B$24*$C$14/$D$14*$E$14/$F$14*$G$14/$H$14*K41/J41*I41/H41*F41/G41*$K$14*$I$14/$J$14), "")</f>
        <v/>
      </c>
      <c r="P41" s="176"/>
      <c r="Q41" s="87" t="str">
        <f t="shared" ref="Q41" si="10">IFERROR((N41/$B$24*$C$14/$D$14*$E$14/$F$14*$G$14/$H$14*$I$14/$J$14*I41/H41*K41/J41*F41/1*$K$14/100), "")</f>
        <v/>
      </c>
      <c r="R41" s="90"/>
    </row>
    <row r="42" spans="1:18" ht="30" customHeight="1" thickBot="1" x14ac:dyDescent="0.35">
      <c r="A42" s="233"/>
      <c r="B42" s="234"/>
      <c r="C42" s="235"/>
      <c r="D42" s="235"/>
      <c r="E42" s="235"/>
      <c r="F42" s="155"/>
      <c r="G42" s="236"/>
      <c r="H42" s="155"/>
      <c r="I42" s="239"/>
      <c r="J42" s="241"/>
      <c r="K42" s="239"/>
      <c r="L42" s="240"/>
      <c r="M42" s="163"/>
      <c r="N42" s="165"/>
      <c r="O42" s="174"/>
      <c r="P42" s="177"/>
      <c r="Q42" s="88"/>
      <c r="R42" s="92"/>
    </row>
    <row r="43" spans="1:18" ht="30" customHeight="1" x14ac:dyDescent="0.3">
      <c r="A43" s="229"/>
      <c r="B43" s="156"/>
      <c r="C43" s="158"/>
      <c r="D43" s="158"/>
      <c r="E43" s="158"/>
      <c r="F43" s="160"/>
      <c r="G43" s="231"/>
      <c r="H43" s="160"/>
      <c r="I43" s="168"/>
      <c r="J43" s="237"/>
      <c r="K43" s="168"/>
      <c r="L43" s="170"/>
      <c r="M43" s="172"/>
      <c r="N43" s="173" t="str">
        <f t="shared" ref="N43" si="11">IFERROR((AVERAGE(L43:M44)), "")</f>
        <v/>
      </c>
      <c r="O43" s="166" t="str">
        <f>IFERROR((N43/$B$24*$C$14/$D$14*$E$14/$F$14*$G$14/$H$14*K43/J43*I43/H43*F43/G43*$K$14*$I$14/$J$14), "")</f>
        <v/>
      </c>
      <c r="P43" s="175" t="str">
        <f>IFERROR((AVERAGE(O43:O46)), "")</f>
        <v/>
      </c>
      <c r="Q43" s="93" t="str">
        <f t="shared" ref="Q43" si="12">IFERROR((N43/$B$24*$C$14/$D$14*$E$14/$F$14*$G$14/$H$14*$I$14/$J$14*I43/H43*K43/J43*F43/1*$K$14/100), "")</f>
        <v/>
      </c>
      <c r="R43" s="91" t="str">
        <f>IFERROR((AVERAGE(Q43:Q46)), "")</f>
        <v/>
      </c>
    </row>
    <row r="44" spans="1:18" ht="30" customHeight="1" x14ac:dyDescent="0.3">
      <c r="A44" s="230"/>
      <c r="B44" s="157"/>
      <c r="C44" s="159"/>
      <c r="D44" s="159"/>
      <c r="E44" s="159"/>
      <c r="F44" s="161"/>
      <c r="G44" s="232"/>
      <c r="H44" s="161"/>
      <c r="I44" s="169"/>
      <c r="J44" s="238"/>
      <c r="K44" s="169"/>
      <c r="L44" s="171"/>
      <c r="M44" s="162"/>
      <c r="N44" s="164"/>
      <c r="O44" s="167"/>
      <c r="P44" s="176"/>
      <c r="Q44" s="94"/>
      <c r="R44" s="90"/>
    </row>
    <row r="45" spans="1:18" ht="30" customHeight="1" x14ac:dyDescent="0.3">
      <c r="A45" s="178"/>
      <c r="B45" s="180"/>
      <c r="C45" s="182"/>
      <c r="D45" s="182"/>
      <c r="E45" s="182"/>
      <c r="F45" s="184"/>
      <c r="G45" s="186"/>
      <c r="H45" s="184"/>
      <c r="I45" s="188"/>
      <c r="J45" s="190"/>
      <c r="K45" s="188"/>
      <c r="L45" s="162"/>
      <c r="M45" s="162"/>
      <c r="N45" s="164" t="str">
        <f t="shared" ref="N45" si="13">IFERROR((AVERAGE(L45:M46)), "")</f>
        <v/>
      </c>
      <c r="O45" s="167" t="str">
        <f>IFERROR((N45/$B$24*$C$14/$D$14*$E$14/$F$14*$G$14/$H$14*K45/J45*I45/H45*F45/G45*$K$14*$I$14/$J$14), "")</f>
        <v/>
      </c>
      <c r="P45" s="176"/>
      <c r="Q45" s="87" t="str">
        <f t="shared" ref="Q45" si="14">IFERROR((N45/$B$24*$C$14/$D$14*$E$14/$F$14*$G$14/$H$14*$I$14/$J$14*I45/H45*K45/J45*F45/1*$K$14/100), "")</f>
        <v/>
      </c>
      <c r="R45" s="90"/>
    </row>
    <row r="46" spans="1:18" ht="30" customHeight="1" thickBot="1" x14ac:dyDescent="0.35">
      <c r="A46" s="179"/>
      <c r="B46" s="181"/>
      <c r="C46" s="183"/>
      <c r="D46" s="183"/>
      <c r="E46" s="183"/>
      <c r="F46" s="185"/>
      <c r="G46" s="187"/>
      <c r="H46" s="185"/>
      <c r="I46" s="189"/>
      <c r="J46" s="191"/>
      <c r="K46" s="189"/>
      <c r="L46" s="163"/>
      <c r="M46" s="163"/>
      <c r="N46" s="165"/>
      <c r="O46" s="174"/>
      <c r="P46" s="177"/>
      <c r="Q46" s="88"/>
      <c r="R46" s="92"/>
    </row>
    <row r="47" spans="1:18" ht="30" customHeight="1" x14ac:dyDescent="0.3">
      <c r="A47" s="229"/>
      <c r="B47" s="156"/>
      <c r="C47" s="158"/>
      <c r="D47" s="158"/>
      <c r="E47" s="158"/>
      <c r="F47" s="160"/>
      <c r="G47" s="231"/>
      <c r="H47" s="160"/>
      <c r="I47" s="168"/>
      <c r="J47" s="237"/>
      <c r="K47" s="168"/>
      <c r="L47" s="170"/>
      <c r="M47" s="172"/>
      <c r="N47" s="173" t="str">
        <f t="shared" ref="N47" si="15">IFERROR((AVERAGE(L47:M48)), "")</f>
        <v/>
      </c>
      <c r="O47" s="166" t="str">
        <f>IFERROR((N47/$B$24*$C$14/$D$14*$E$14/$F$14*$G$14/$H$14*K47/J47*I47/H47*F47/G47*$K$14*$I$14/$J$14), "")</f>
        <v/>
      </c>
      <c r="P47" s="175" t="str">
        <f>IFERROR((AVERAGE(O47:O50)), "")</f>
        <v/>
      </c>
      <c r="Q47" s="93" t="str">
        <f t="shared" ref="Q47" si="16">IFERROR((N47/$B$24*$C$14/$D$14*$E$14/$F$14*$G$14/$H$14*$I$14/$J$14*I47/H47*K47/J47*F47/1*$K$14/100), "")</f>
        <v/>
      </c>
      <c r="R47" s="91" t="str">
        <f>IFERROR((AVERAGE(Q47:Q50)), "")</f>
        <v/>
      </c>
    </row>
    <row r="48" spans="1:18" ht="30" customHeight="1" x14ac:dyDescent="0.3">
      <c r="A48" s="230"/>
      <c r="B48" s="157"/>
      <c r="C48" s="159"/>
      <c r="D48" s="159"/>
      <c r="E48" s="159"/>
      <c r="F48" s="161"/>
      <c r="G48" s="232"/>
      <c r="H48" s="161"/>
      <c r="I48" s="169"/>
      <c r="J48" s="238"/>
      <c r="K48" s="169"/>
      <c r="L48" s="171"/>
      <c r="M48" s="162"/>
      <c r="N48" s="164"/>
      <c r="O48" s="167"/>
      <c r="P48" s="176"/>
      <c r="Q48" s="94"/>
      <c r="R48" s="90"/>
    </row>
    <row r="49" spans="1:18" ht="30" customHeight="1" x14ac:dyDescent="0.3">
      <c r="A49" s="221"/>
      <c r="B49" s="222"/>
      <c r="C49" s="223"/>
      <c r="D49" s="223"/>
      <c r="E49" s="223"/>
      <c r="F49" s="154"/>
      <c r="G49" s="227"/>
      <c r="H49" s="154"/>
      <c r="I49" s="225"/>
      <c r="J49" s="226"/>
      <c r="K49" s="225"/>
      <c r="L49" s="228"/>
      <c r="M49" s="162"/>
      <c r="N49" s="164" t="str">
        <f t="shared" ref="N49" si="17">IFERROR((AVERAGE(L49:M50)), "")</f>
        <v/>
      </c>
      <c r="O49" s="167" t="str">
        <f>IFERROR((N49/$B$24*$C$14/$D$14*$E$14/$F$14*$G$14/$H$14*K49/J49*I49/H49*F49/G49*$K$14*$I$14/$J$14), "")</f>
        <v/>
      </c>
      <c r="P49" s="176"/>
      <c r="Q49" s="87" t="str">
        <f t="shared" ref="Q49" si="18">IFERROR((N49/$B$24*$C$14/$D$14*$E$14/$F$14*$G$14/$H$14*$I$14/$J$14*I49/H49*K49/J49*F49/1*$K$14/100), "")</f>
        <v/>
      </c>
      <c r="R49" s="90"/>
    </row>
    <row r="50" spans="1:18" ht="30" customHeight="1" thickBot="1" x14ac:dyDescent="0.35">
      <c r="A50" s="233"/>
      <c r="B50" s="234"/>
      <c r="C50" s="235"/>
      <c r="D50" s="235"/>
      <c r="E50" s="235"/>
      <c r="F50" s="155"/>
      <c r="G50" s="236"/>
      <c r="H50" s="155"/>
      <c r="I50" s="239"/>
      <c r="J50" s="241"/>
      <c r="K50" s="239"/>
      <c r="L50" s="240"/>
      <c r="M50" s="163"/>
      <c r="N50" s="165"/>
      <c r="O50" s="174"/>
      <c r="P50" s="177"/>
      <c r="Q50" s="88"/>
      <c r="R50" s="92"/>
    </row>
    <row r="51" spans="1:18" ht="30" customHeight="1" x14ac:dyDescent="0.3">
      <c r="A51" s="229"/>
      <c r="B51" s="156"/>
      <c r="C51" s="158"/>
      <c r="D51" s="158"/>
      <c r="E51" s="158"/>
      <c r="F51" s="160"/>
      <c r="G51" s="231"/>
      <c r="H51" s="160"/>
      <c r="I51" s="168"/>
      <c r="J51" s="237"/>
      <c r="K51" s="168"/>
      <c r="L51" s="170"/>
      <c r="M51" s="172"/>
      <c r="N51" s="173" t="str">
        <f t="shared" ref="N51" si="19">IFERROR((AVERAGE(L51:M52)), "")</f>
        <v/>
      </c>
      <c r="O51" s="166" t="str">
        <f>IFERROR((N51/$B$24*$C$14/$D$14*$E$14/$F$14*$G$14/$H$14*K51/J51*I51/H51*F51/G51*$K$14*$I$14/$J$14), "")</f>
        <v/>
      </c>
      <c r="P51" s="175" t="str">
        <f>IFERROR((AVERAGE(O51:O54)), "")</f>
        <v/>
      </c>
      <c r="Q51" s="93" t="str">
        <f t="shared" ref="Q51" si="20">IFERROR((N51/$B$24*$C$14/$D$14*$E$14/$F$14*$G$14/$H$14*$I$14/$J$14*I51/H51*K51/J51*F51/1*$K$14/100), "")</f>
        <v/>
      </c>
      <c r="R51" s="91" t="str">
        <f>IFERROR((AVERAGE(Q51:Q54)), "")</f>
        <v/>
      </c>
    </row>
    <row r="52" spans="1:18" ht="30" customHeight="1" x14ac:dyDescent="0.3">
      <c r="A52" s="230"/>
      <c r="B52" s="157"/>
      <c r="C52" s="159"/>
      <c r="D52" s="159"/>
      <c r="E52" s="159"/>
      <c r="F52" s="161"/>
      <c r="G52" s="232"/>
      <c r="H52" s="161"/>
      <c r="I52" s="169"/>
      <c r="J52" s="238"/>
      <c r="K52" s="169"/>
      <c r="L52" s="171"/>
      <c r="M52" s="162"/>
      <c r="N52" s="164"/>
      <c r="O52" s="167"/>
      <c r="P52" s="176"/>
      <c r="Q52" s="94"/>
      <c r="R52" s="90"/>
    </row>
    <row r="53" spans="1:18" ht="30" customHeight="1" x14ac:dyDescent="0.3">
      <c r="A53" s="178"/>
      <c r="B53" s="180"/>
      <c r="C53" s="182"/>
      <c r="D53" s="182"/>
      <c r="E53" s="182"/>
      <c r="F53" s="184"/>
      <c r="G53" s="186"/>
      <c r="H53" s="184"/>
      <c r="I53" s="188"/>
      <c r="J53" s="190"/>
      <c r="K53" s="188"/>
      <c r="L53" s="162"/>
      <c r="M53" s="162"/>
      <c r="N53" s="164" t="str">
        <f t="shared" ref="N53" si="21">IFERROR((AVERAGE(L53:M54)), "")</f>
        <v/>
      </c>
      <c r="O53" s="167" t="str">
        <f>IFERROR((N53/$B$24*$C$14/$D$14*$E$14/$F$14*$G$14/$H$14*K53/J53*I53/H53*F53/G53*$K$14*$I$14/$J$14), "")</f>
        <v/>
      </c>
      <c r="P53" s="176"/>
      <c r="Q53" s="87" t="str">
        <f t="shared" ref="Q53" si="22">IFERROR((N53/$B$24*$C$14/$D$14*$E$14/$F$14*$G$14/$H$14*$I$14/$J$14*I53/H53*K53/J53*F53/1*$K$14/100), "")</f>
        <v/>
      </c>
      <c r="R53" s="90"/>
    </row>
    <row r="54" spans="1:18" ht="30" customHeight="1" thickBot="1" x14ac:dyDescent="0.35">
      <c r="A54" s="179"/>
      <c r="B54" s="181"/>
      <c r="C54" s="183"/>
      <c r="D54" s="183"/>
      <c r="E54" s="183"/>
      <c r="F54" s="185"/>
      <c r="G54" s="187"/>
      <c r="H54" s="185"/>
      <c r="I54" s="189"/>
      <c r="J54" s="191"/>
      <c r="K54" s="189"/>
      <c r="L54" s="163"/>
      <c r="M54" s="163"/>
      <c r="N54" s="165"/>
      <c r="O54" s="174"/>
      <c r="P54" s="177"/>
      <c r="Q54" s="88"/>
      <c r="R54" s="92"/>
    </row>
    <row r="55" spans="1:18" ht="30" customHeight="1" x14ac:dyDescent="0.3">
      <c r="A55" s="229"/>
      <c r="B55" s="156"/>
      <c r="C55" s="158"/>
      <c r="D55" s="158"/>
      <c r="E55" s="158"/>
      <c r="F55" s="160"/>
      <c r="G55" s="231"/>
      <c r="H55" s="160"/>
      <c r="I55" s="168"/>
      <c r="J55" s="237"/>
      <c r="K55" s="168"/>
      <c r="L55" s="170"/>
      <c r="M55" s="172"/>
      <c r="N55" s="173" t="str">
        <f t="shared" ref="N55" si="23">IFERROR((AVERAGE(L55:M56)), "")</f>
        <v/>
      </c>
      <c r="O55" s="166" t="str">
        <f>IFERROR((N55/$B$24*$C$14/$D$14*$E$14/$F$14*$G$14/$H$14*K55/J55*I55/H55*F55/G55*$K$14*$I$14/$J$14), "")</f>
        <v/>
      </c>
      <c r="P55" s="175" t="str">
        <f>IFERROR((AVERAGE(O55:O58)), "")</f>
        <v/>
      </c>
      <c r="Q55" s="93" t="str">
        <f t="shared" ref="Q55" si="24">IFERROR((N55/$B$24*$C$14/$D$14*$E$14/$F$14*$G$14/$H$14*$I$14/$J$14*I55/H55*K55/J55*F55/1*$K$14/100), "")</f>
        <v/>
      </c>
      <c r="R55" s="91" t="str">
        <f>IFERROR((AVERAGE(Q55:Q58)), "")</f>
        <v/>
      </c>
    </row>
    <row r="56" spans="1:18" ht="30" customHeight="1" x14ac:dyDescent="0.3">
      <c r="A56" s="230"/>
      <c r="B56" s="157"/>
      <c r="C56" s="159"/>
      <c r="D56" s="159"/>
      <c r="E56" s="159"/>
      <c r="F56" s="161"/>
      <c r="G56" s="232"/>
      <c r="H56" s="161"/>
      <c r="I56" s="169"/>
      <c r="J56" s="238"/>
      <c r="K56" s="169"/>
      <c r="L56" s="171"/>
      <c r="M56" s="162"/>
      <c r="N56" s="164"/>
      <c r="O56" s="167"/>
      <c r="P56" s="176"/>
      <c r="Q56" s="94"/>
      <c r="R56" s="90"/>
    </row>
    <row r="57" spans="1:18" ht="30" customHeight="1" x14ac:dyDescent="0.3">
      <c r="A57" s="221"/>
      <c r="B57" s="222"/>
      <c r="C57" s="223"/>
      <c r="D57" s="223"/>
      <c r="E57" s="223"/>
      <c r="F57" s="154"/>
      <c r="G57" s="227"/>
      <c r="H57" s="154"/>
      <c r="I57" s="225"/>
      <c r="J57" s="226"/>
      <c r="K57" s="225"/>
      <c r="L57" s="228"/>
      <c r="M57" s="162"/>
      <c r="N57" s="164" t="str">
        <f t="shared" ref="N57" si="25">IFERROR((AVERAGE(L57:M58)), "")</f>
        <v/>
      </c>
      <c r="O57" s="167" t="str">
        <f>IFERROR((N57/$B$24*$C$14/$D$14*$E$14/$F$14*$G$14/$H$14*K57/J57*I57/H57*F57/G57*$K$14*$I$14/$J$14), "")</f>
        <v/>
      </c>
      <c r="P57" s="176"/>
      <c r="Q57" s="87" t="str">
        <f t="shared" ref="Q57" si="26">IFERROR((N57/$B$24*$C$14/$D$14*$E$14/$F$14*$G$14/$H$14*$I$14/$J$14*I57/H57*K57/J57*F57/1*$K$14/100), "")</f>
        <v/>
      </c>
      <c r="R57" s="90"/>
    </row>
    <row r="58" spans="1:18" ht="30" customHeight="1" thickBot="1" x14ac:dyDescent="0.35">
      <c r="A58" s="233"/>
      <c r="B58" s="234"/>
      <c r="C58" s="235"/>
      <c r="D58" s="235"/>
      <c r="E58" s="235"/>
      <c r="F58" s="155"/>
      <c r="G58" s="236"/>
      <c r="H58" s="155"/>
      <c r="I58" s="239"/>
      <c r="J58" s="241"/>
      <c r="K58" s="239"/>
      <c r="L58" s="240"/>
      <c r="M58" s="163"/>
      <c r="N58" s="165"/>
      <c r="O58" s="174"/>
      <c r="P58" s="177"/>
      <c r="Q58" s="88"/>
      <c r="R58" s="92"/>
    </row>
    <row r="59" spans="1:18" ht="17.100000000000001" customHeight="1" thickBot="1" x14ac:dyDescent="0.35">
      <c r="A59" s="15"/>
      <c r="B59" s="14"/>
      <c r="C59" s="14"/>
      <c r="D59" s="14"/>
      <c r="E59" s="14"/>
      <c r="F59" s="14"/>
      <c r="G59" s="14"/>
      <c r="H59" s="6"/>
      <c r="I59" s="14"/>
      <c r="J59" s="14"/>
      <c r="K59" s="14"/>
      <c r="L59" s="14"/>
      <c r="M59" s="14"/>
      <c r="N59" s="14"/>
      <c r="O59" s="14"/>
      <c r="P59" s="14"/>
      <c r="Q59" s="14"/>
      <c r="R59" s="13"/>
    </row>
    <row r="60" spans="1:18" ht="17.100000000000001" customHeight="1" x14ac:dyDescent="0.3">
      <c r="A60" s="242" t="s">
        <v>12</v>
      </c>
      <c r="B60" s="245"/>
      <c r="C60" s="246"/>
      <c r="D60" s="247"/>
      <c r="E60" s="6"/>
      <c r="F60" s="14"/>
      <c r="G60" s="14"/>
      <c r="H60" s="6"/>
      <c r="I60" s="14"/>
      <c r="J60" s="254" t="s">
        <v>11</v>
      </c>
      <c r="K60" s="255"/>
      <c r="L60" s="78"/>
      <c r="M60" s="79"/>
      <c r="N60" s="79"/>
      <c r="O60" s="79"/>
      <c r="P60" s="79"/>
      <c r="Q60" s="79"/>
      <c r="R60" s="80"/>
    </row>
    <row r="61" spans="1:18" ht="17.100000000000001" customHeight="1" x14ac:dyDescent="0.3">
      <c r="A61" s="243"/>
      <c r="B61" s="248"/>
      <c r="C61" s="249"/>
      <c r="D61" s="250"/>
      <c r="E61" s="6"/>
      <c r="F61" s="14"/>
      <c r="G61" s="14"/>
      <c r="H61" s="6"/>
      <c r="I61" s="14"/>
      <c r="J61" s="256"/>
      <c r="K61" s="257"/>
      <c r="L61" s="81"/>
      <c r="M61" s="82"/>
      <c r="N61" s="82"/>
      <c r="O61" s="82"/>
      <c r="P61" s="82"/>
      <c r="Q61" s="82"/>
      <c r="R61" s="83"/>
    </row>
    <row r="62" spans="1:18" ht="17.100000000000001" customHeight="1" x14ac:dyDescent="0.3">
      <c r="A62" s="243"/>
      <c r="B62" s="248"/>
      <c r="C62" s="249"/>
      <c r="D62" s="250"/>
      <c r="E62" s="6"/>
      <c r="F62" s="14"/>
      <c r="G62" s="14"/>
      <c r="H62" s="6"/>
      <c r="I62" s="14"/>
      <c r="J62" s="256"/>
      <c r="K62" s="257"/>
      <c r="L62" s="81"/>
      <c r="M62" s="82"/>
      <c r="N62" s="82"/>
      <c r="O62" s="82"/>
      <c r="P62" s="82"/>
      <c r="Q62" s="82"/>
      <c r="R62" s="83"/>
    </row>
    <row r="63" spans="1:18" ht="17.100000000000001" customHeight="1" x14ac:dyDescent="0.3">
      <c r="A63" s="243"/>
      <c r="B63" s="248"/>
      <c r="C63" s="249"/>
      <c r="D63" s="250"/>
      <c r="E63" s="6"/>
      <c r="F63" s="14"/>
      <c r="G63" s="14"/>
      <c r="H63" s="6"/>
      <c r="I63" s="14"/>
      <c r="J63" s="256"/>
      <c r="K63" s="257"/>
      <c r="L63" s="81"/>
      <c r="M63" s="82"/>
      <c r="N63" s="82"/>
      <c r="O63" s="82"/>
      <c r="P63" s="82"/>
      <c r="Q63" s="82"/>
      <c r="R63" s="83"/>
    </row>
    <row r="64" spans="1:18" ht="17.100000000000001" customHeight="1" thickBot="1" x14ac:dyDescent="0.35">
      <c r="A64" s="244"/>
      <c r="B64" s="251"/>
      <c r="C64" s="252"/>
      <c r="D64" s="253"/>
      <c r="E64" s="16"/>
      <c r="F64" s="17"/>
      <c r="G64" s="17"/>
      <c r="H64" s="16"/>
      <c r="I64" s="17"/>
      <c r="J64" s="258"/>
      <c r="K64" s="259"/>
      <c r="L64" s="84"/>
      <c r="M64" s="85"/>
      <c r="N64" s="85"/>
      <c r="O64" s="85"/>
      <c r="P64" s="85"/>
      <c r="Q64" s="85"/>
      <c r="R64" s="86"/>
    </row>
    <row r="65" spans="2:11" ht="17.100000000000001" customHeight="1" x14ac:dyDescent="0.3">
      <c r="B65" s="7"/>
      <c r="C65" s="7"/>
      <c r="D65" s="7"/>
      <c r="E65" s="7"/>
      <c r="F65" s="7"/>
      <c r="G65" s="7"/>
      <c r="I65" s="7"/>
      <c r="J65" s="7"/>
      <c r="K65" s="7"/>
    </row>
  </sheetData>
  <mergeCells count="297">
    <mergeCell ref="P55:P58"/>
    <mergeCell ref="A57:A58"/>
    <mergeCell ref="B57:B58"/>
    <mergeCell ref="C57:C58"/>
    <mergeCell ref="D57:D58"/>
    <mergeCell ref="E57:E58"/>
    <mergeCell ref="F57:F58"/>
    <mergeCell ref="G57:G58"/>
    <mergeCell ref="I57:I58"/>
    <mergeCell ref="J57:J58"/>
    <mergeCell ref="K57:K58"/>
    <mergeCell ref="L57:L58"/>
    <mergeCell ref="A60:A64"/>
    <mergeCell ref="B60:D64"/>
    <mergeCell ref="J60:K64"/>
    <mergeCell ref="G55:G56"/>
    <mergeCell ref="H55:H56"/>
    <mergeCell ref="I55:I56"/>
    <mergeCell ref="J55:J56"/>
    <mergeCell ref="A55:A56"/>
    <mergeCell ref="O55:O56"/>
    <mergeCell ref="N47:N48"/>
    <mergeCell ref="O47:O48"/>
    <mergeCell ref="P47:P50"/>
    <mergeCell ref="A49:A50"/>
    <mergeCell ref="B49:B50"/>
    <mergeCell ref="C49:C50"/>
    <mergeCell ref="D49:D50"/>
    <mergeCell ref="E49:E50"/>
    <mergeCell ref="F49:F50"/>
    <mergeCell ref="G49:G50"/>
    <mergeCell ref="J47:J48"/>
    <mergeCell ref="K47:K48"/>
    <mergeCell ref="L47:L48"/>
    <mergeCell ref="M47:M48"/>
    <mergeCell ref="O49:O50"/>
    <mergeCell ref="K49:K50"/>
    <mergeCell ref="L49:L50"/>
    <mergeCell ref="H49:H50"/>
    <mergeCell ref="I49:I50"/>
    <mergeCell ref="J49:J50"/>
    <mergeCell ref="M49:M50"/>
    <mergeCell ref="N49:N50"/>
    <mergeCell ref="G45:G46"/>
    <mergeCell ref="H45:H46"/>
    <mergeCell ref="I45:I46"/>
    <mergeCell ref="J45:J46"/>
    <mergeCell ref="K45:K46"/>
    <mergeCell ref="A45:A46"/>
    <mergeCell ref="B45:B46"/>
    <mergeCell ref="C45:C46"/>
    <mergeCell ref="D45:D46"/>
    <mergeCell ref="E45:E46"/>
    <mergeCell ref="F45:F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K43:K44"/>
    <mergeCell ref="L43:L44"/>
    <mergeCell ref="M41:M42"/>
    <mergeCell ref="N41:N42"/>
    <mergeCell ref="M43:M44"/>
    <mergeCell ref="N43:N44"/>
    <mergeCell ref="O43:O44"/>
    <mergeCell ref="P43:P46"/>
    <mergeCell ref="L45:L46"/>
    <mergeCell ref="M45:M46"/>
    <mergeCell ref="N45:N46"/>
    <mergeCell ref="O45:O46"/>
    <mergeCell ref="A43:A44"/>
    <mergeCell ref="B43:B44"/>
    <mergeCell ref="C43:C44"/>
    <mergeCell ref="D43:D44"/>
    <mergeCell ref="E43:E44"/>
    <mergeCell ref="F43:F44"/>
    <mergeCell ref="H41:H42"/>
    <mergeCell ref="I41:I42"/>
    <mergeCell ref="J41:J42"/>
    <mergeCell ref="G43:G44"/>
    <mergeCell ref="H43:H44"/>
    <mergeCell ref="I43:I44"/>
    <mergeCell ref="J43:J44"/>
    <mergeCell ref="N39:N40"/>
    <mergeCell ref="O39:O40"/>
    <mergeCell ref="P39:P42"/>
    <mergeCell ref="A41:A42"/>
    <mergeCell ref="B41:B42"/>
    <mergeCell ref="C41:C42"/>
    <mergeCell ref="D41:D42"/>
    <mergeCell ref="E41:E42"/>
    <mergeCell ref="F41:F42"/>
    <mergeCell ref="G41:G42"/>
    <mergeCell ref="J39:J40"/>
    <mergeCell ref="K39:K40"/>
    <mergeCell ref="L39:L40"/>
    <mergeCell ref="M39:M40"/>
    <mergeCell ref="O41:O42"/>
    <mergeCell ref="K41:K42"/>
    <mergeCell ref="L41:L42"/>
    <mergeCell ref="G37:G38"/>
    <mergeCell ref="H37:H38"/>
    <mergeCell ref="I37:I38"/>
    <mergeCell ref="J37:J38"/>
    <mergeCell ref="K37:K38"/>
    <mergeCell ref="A37:A38"/>
    <mergeCell ref="B37:B38"/>
    <mergeCell ref="C37:C38"/>
    <mergeCell ref="D37:D38"/>
    <mergeCell ref="E37:E38"/>
    <mergeCell ref="F37:F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K35:K36"/>
    <mergeCell ref="L33:L34"/>
    <mergeCell ref="M33:M34"/>
    <mergeCell ref="N33:N34"/>
    <mergeCell ref="L35:L36"/>
    <mergeCell ref="M35:M36"/>
    <mergeCell ref="N35:N36"/>
    <mergeCell ref="O35:O36"/>
    <mergeCell ref="P35:P38"/>
    <mergeCell ref="L37:L38"/>
    <mergeCell ref="M37:M38"/>
    <mergeCell ref="N37:N38"/>
    <mergeCell ref="O37:O38"/>
    <mergeCell ref="A35:A36"/>
    <mergeCell ref="B35:B36"/>
    <mergeCell ref="C35:C36"/>
    <mergeCell ref="D35:D36"/>
    <mergeCell ref="E35:E36"/>
    <mergeCell ref="F35:F36"/>
    <mergeCell ref="H33:H34"/>
    <mergeCell ref="I33:I34"/>
    <mergeCell ref="J33:J34"/>
    <mergeCell ref="G35:G36"/>
    <mergeCell ref="H35:H36"/>
    <mergeCell ref="I35:I36"/>
    <mergeCell ref="J35:J36"/>
    <mergeCell ref="G33:G34"/>
    <mergeCell ref="N31:N32"/>
    <mergeCell ref="O31:O32"/>
    <mergeCell ref="P31:P34"/>
    <mergeCell ref="A33:A34"/>
    <mergeCell ref="B33:B34"/>
    <mergeCell ref="C33:C34"/>
    <mergeCell ref="D33:D34"/>
    <mergeCell ref="E33:E34"/>
    <mergeCell ref="F33:F34"/>
    <mergeCell ref="J31:J32"/>
    <mergeCell ref="K31:K32"/>
    <mergeCell ref="L31:L32"/>
    <mergeCell ref="M31:M32"/>
    <mergeCell ref="O33:O34"/>
    <mergeCell ref="K33:K34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E25:F25"/>
    <mergeCell ref="E26:F26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H16:H17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P51:P54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A51:A52"/>
    <mergeCell ref="B51:B52"/>
    <mergeCell ref="C51:C52"/>
    <mergeCell ref="D51:D52"/>
    <mergeCell ref="E51:E52"/>
    <mergeCell ref="F51:F52"/>
    <mergeCell ref="G51:G52"/>
    <mergeCell ref="H51:H52"/>
    <mergeCell ref="B55:B56"/>
    <mergeCell ref="C55:C56"/>
    <mergeCell ref="D55:D56"/>
    <mergeCell ref="E55:E56"/>
    <mergeCell ref="F55:F56"/>
    <mergeCell ref="M57:M58"/>
    <mergeCell ref="N57:N58"/>
    <mergeCell ref="O51:O52"/>
    <mergeCell ref="K55:K56"/>
    <mergeCell ref="L55:L56"/>
    <mergeCell ref="M55:M56"/>
    <mergeCell ref="N55:N56"/>
    <mergeCell ref="O57:O58"/>
    <mergeCell ref="I51:I52"/>
    <mergeCell ref="J51:J52"/>
    <mergeCell ref="K51:K52"/>
    <mergeCell ref="L51:L52"/>
    <mergeCell ref="M51:M52"/>
    <mergeCell ref="N51:N52"/>
    <mergeCell ref="Q23:R24"/>
    <mergeCell ref="Q18:R21"/>
    <mergeCell ref="A13:B13"/>
    <mergeCell ref="A14:B14"/>
    <mergeCell ref="P13:R13"/>
    <mergeCell ref="Q14:R15"/>
    <mergeCell ref="O13:O15"/>
    <mergeCell ref="P14:P15"/>
    <mergeCell ref="J6:K6"/>
    <mergeCell ref="J7:K7"/>
    <mergeCell ref="J8:K8"/>
    <mergeCell ref="B6:H6"/>
    <mergeCell ref="B7:H7"/>
    <mergeCell ref="B8:H8"/>
    <mergeCell ref="B9:H9"/>
    <mergeCell ref="O23:P24"/>
    <mergeCell ref="D16:D17"/>
    <mergeCell ref="A16:A17"/>
    <mergeCell ref="Q16:R16"/>
    <mergeCell ref="Q17:R17"/>
    <mergeCell ref="Q22:R22"/>
    <mergeCell ref="A1:R1"/>
    <mergeCell ref="A2:R2"/>
    <mergeCell ref="A3:R3"/>
    <mergeCell ref="A4:R4"/>
    <mergeCell ref="A11:R11"/>
    <mergeCell ref="L6:O6"/>
    <mergeCell ref="L7:O7"/>
    <mergeCell ref="L8:O8"/>
    <mergeCell ref="J9:K9"/>
    <mergeCell ref="L9:O9"/>
    <mergeCell ref="A28:R28"/>
    <mergeCell ref="L60:R64"/>
    <mergeCell ref="Q57:Q58"/>
    <mergeCell ref="R31:R34"/>
    <mergeCell ref="R35:R38"/>
    <mergeCell ref="R55:R58"/>
    <mergeCell ref="R51:R54"/>
    <mergeCell ref="R47:R50"/>
    <mergeCell ref="R43:R46"/>
    <mergeCell ref="R39:R42"/>
    <mergeCell ref="Q47:Q48"/>
    <mergeCell ref="Q49:Q50"/>
    <mergeCell ref="Q51:Q52"/>
    <mergeCell ref="Q53:Q54"/>
    <mergeCell ref="Q55:Q56"/>
    <mergeCell ref="Q37:Q38"/>
    <mergeCell ref="Q39:Q40"/>
    <mergeCell ref="Q41:Q42"/>
    <mergeCell ref="Q43:Q44"/>
    <mergeCell ref="Q45:Q46"/>
    <mergeCell ref="Q31:Q32"/>
    <mergeCell ref="Q33:Q34"/>
    <mergeCell ref="Q35:Q36"/>
    <mergeCell ref="H57:H58"/>
  </mergeCells>
  <pageMargins left="0.19685039370078741" right="0.19685039370078741" top="0" bottom="0" header="0" footer="0"/>
  <pageSetup paperSize="9" scale="29" fitToHeight="0" orientation="landscape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2026-06-24T10:22:03Z</dcterms:modified>
</cp:coreProperties>
</file>