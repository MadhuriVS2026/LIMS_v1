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000" windowHeight="9600"/>
  </bookViews>
  <sheets>
    <sheet name="1" sheetId="5" r:id="rId1"/>
  </sheets>
  <definedNames>
    <definedName name="_xlnm.Print_Area" localSheetId="0">'1'!$A$1:$L$6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5" l="1"/>
  <c r="H6" i="5"/>
  <c r="F6" i="5"/>
  <c r="D6" i="5"/>
  <c r="J4" i="5"/>
  <c r="H4" i="5"/>
  <c r="F4" i="5"/>
  <c r="D4" i="5"/>
  <c r="K6" i="5" l="1"/>
  <c r="L6" i="5" s="1"/>
  <c r="K4" i="5"/>
  <c r="L4" i="5" s="1"/>
  <c r="J5" i="5"/>
  <c r="H5" i="5"/>
  <c r="F5" i="5"/>
  <c r="D5" i="5"/>
  <c r="K5" i="5" l="1"/>
  <c r="L5" i="5" s="1"/>
</calcChain>
</file>

<file path=xl/sharedStrings.xml><?xml version="1.0" encoding="utf-8"?>
<sst xmlns="http://schemas.openxmlformats.org/spreadsheetml/2006/main" count="26" uniqueCount="18">
  <si>
    <t>Batch No.</t>
  </si>
  <si>
    <t>Condition</t>
  </si>
  <si>
    <t>Assay of DSPG</t>
  </si>
  <si>
    <t>Assay of Cholesterol</t>
  </si>
  <si>
    <t>Assay of HSPC</t>
  </si>
  <si>
    <t>80.0% to 120.0%</t>
  </si>
  <si>
    <t>Microbial assay of Amphotericin B</t>
  </si>
  <si>
    <t>90.0% to 120.0%</t>
  </si>
  <si>
    <t>Content of Amphotericin B(in mg/vial)</t>
  </si>
  <si>
    <t>N/A</t>
  </si>
  <si>
    <t>Content of Cholesterol(in mg/vial)</t>
  </si>
  <si>
    <t>Content of HSPC (in mg/vial)</t>
  </si>
  <si>
    <t>Content of DSPG (in mg/vial)</t>
  </si>
  <si>
    <t>Calculated Lipid content (in mg/vial)</t>
  </si>
  <si>
    <t>Calculated Drug to Lipid ratio</t>
  </si>
  <si>
    <t>Between
 0.11 to 0.17</t>
  </si>
  <si>
    <t>INITIAL</t>
  </si>
  <si>
    <t>040598M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</si>
</sst>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0"/>
    <numFmt numFmtId="166" formatCode="0.00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164" fontId="0" fillId="0" borderId="1" xfId="0" applyNumberFormat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/>
    <xf numFmtId="164" fontId="0" fillId="3" borderId="0" xfId="0" applyNumberFormat="1" applyFill="1" applyBorder="1" applyAlignment="1">
      <alignment horizontal="center"/>
    </xf>
    <xf numFmtId="166" fontId="0" fillId="3" borderId="0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"/>
  <sheetViews>
    <sheetView tabSelected="1" zoomScale="85" zoomScaleNormal="85" workbookViewId="0">
      <selection activeCell="D22" sqref="D22"/>
    </sheetView>
  </sheetViews>
  <sheetFormatPr defaultRowHeight="15" x14ac:dyDescent="0.25"/>
  <cols>
    <col min="1" max="1" width="23.140625" style="1" customWidth="1"/>
    <col min="2" max="2" width="19.140625" style="1" customWidth="1"/>
    <col min="3" max="3" width="15.140625" style="1" customWidth="1"/>
    <col min="4" max="4" width="16" style="1" customWidth="1"/>
    <col min="5" max="5" width="13.42578125" style="1" bestFit="1" customWidth="1"/>
    <col min="6" max="6" width="13.42578125" style="1" customWidth="1"/>
    <col min="7" max="8" width="15.28515625" style="1" customWidth="1"/>
    <col min="9" max="9" width="21.28515625" style="1" customWidth="1"/>
    <col min="10" max="11" width="15.42578125" style="1" customWidth="1"/>
    <col min="12" max="12" width="17.42578125" style="1" customWidth="1"/>
    <col min="13" max="16384" width="9.140625" style="1"/>
  </cols>
  <sheetData>
    <row r="1" spans="1:13" ht="15" customHeight="1" x14ac:dyDescent="0.25">
      <c r="A1" s="12" t="s">
        <v>0</v>
      </c>
      <c r="B1" s="12" t="s">
        <v>1</v>
      </c>
      <c r="C1" s="12" t="s">
        <v>3</v>
      </c>
      <c r="D1" s="11" t="s">
        <v>10</v>
      </c>
      <c r="E1" s="12" t="s">
        <v>4</v>
      </c>
      <c r="F1" s="11" t="s">
        <v>11</v>
      </c>
      <c r="G1" s="12" t="s">
        <v>2</v>
      </c>
      <c r="H1" s="11" t="s">
        <v>12</v>
      </c>
      <c r="I1" s="12" t="s">
        <v>6</v>
      </c>
      <c r="J1" s="11" t="s">
        <v>8</v>
      </c>
      <c r="K1" s="11" t="s">
        <v>13</v>
      </c>
      <c r="L1" s="11" t="s">
        <v>14</v>
      </c>
      <c r="M1" s="13"/>
    </row>
    <row r="2" spans="1:13" ht="74.25" customHeight="1" x14ac:dyDescent="0.25">
      <c r="A2" s="12"/>
      <c r="B2" s="12"/>
      <c r="C2" s="12"/>
      <c r="D2" s="11"/>
      <c r="E2" s="12"/>
      <c r="F2" s="11"/>
      <c r="G2" s="12"/>
      <c r="H2" s="11"/>
      <c r="I2" s="12"/>
      <c r="J2" s="11"/>
      <c r="K2" s="11"/>
      <c r="L2" s="11"/>
      <c r="M2" s="13"/>
    </row>
    <row r="3" spans="1:13" ht="42.75" customHeight="1" x14ac:dyDescent="0.25">
      <c r="A3" s="12"/>
      <c r="B3" s="12"/>
      <c r="C3" s="9" t="s">
        <v>7</v>
      </c>
      <c r="D3" s="8" t="s">
        <v>9</v>
      </c>
      <c r="E3" s="9" t="s">
        <v>7</v>
      </c>
      <c r="F3" s="8" t="s">
        <v>9</v>
      </c>
      <c r="G3" s="9" t="s">
        <v>5</v>
      </c>
      <c r="H3" s="8" t="s">
        <v>9</v>
      </c>
      <c r="I3" s="9" t="s">
        <v>7</v>
      </c>
      <c r="J3" s="8" t="s">
        <v>9</v>
      </c>
      <c r="K3" s="8" t="s">
        <v>9</v>
      </c>
      <c r="L3" s="8" t="s">
        <v>15</v>
      </c>
    </row>
    <row r="4" spans="1:13" ht="42.75" customHeight="1" x14ac:dyDescent="0.25">
      <c r="A4" s="10">
        <v>10009697</v>
      </c>
      <c r="B4" s="10" t="s">
        <v>16</v>
      </c>
      <c r="C4" s="2">
        <v>105.3</v>
      </c>
      <c r="D4" s="3">
        <f>TRUNC(C4*52/100,4)</f>
        <v>54.756</v>
      </c>
      <c r="E4" s="2">
        <v>107.5</v>
      </c>
      <c r="F4" s="3">
        <f>TRUNC(E4*213/100,4)</f>
        <v>228.97499999999999</v>
      </c>
      <c r="G4" s="2">
        <v>100.8</v>
      </c>
      <c r="H4" s="3">
        <f>TRUNC(G4*81.6/100,4)</f>
        <v>82.252799999999993</v>
      </c>
      <c r="I4" s="2">
        <v>110.64</v>
      </c>
      <c r="J4" s="3">
        <f>TRUNC(I4*50/100,4)</f>
        <v>55.32</v>
      </c>
      <c r="K4" s="3">
        <f>TRUNC(D4+F4+H4,4)</f>
        <v>365.98379999999997</v>
      </c>
      <c r="L4" s="3">
        <f>TRUNC(J4/K4,4)</f>
        <v>0.15110000000000001</v>
      </c>
    </row>
    <row r="5" spans="1:13" ht="33.75" customHeight="1" x14ac:dyDescent="0.25">
      <c r="A5" s="9">
        <v>10010727</v>
      </c>
      <c r="B5" s="9" t="s">
        <v>16</v>
      </c>
      <c r="C5" s="2">
        <v>105.6</v>
      </c>
      <c r="D5" s="3">
        <f>TRUNC(C5*52/100,4)</f>
        <v>54.911999999999999</v>
      </c>
      <c r="E5" s="2">
        <v>107.1</v>
      </c>
      <c r="F5" s="3">
        <f>TRUNC(E5*213/100,4)</f>
        <v>228.12299999999999</v>
      </c>
      <c r="G5" s="2">
        <v>104.3</v>
      </c>
      <c r="H5" s="3">
        <f>TRUNC(G5*81.6/100,4)</f>
        <v>85.108800000000002</v>
      </c>
      <c r="I5" s="2">
        <v>108.73</v>
      </c>
      <c r="J5" s="3">
        <f>TRUNC(I5*50/100,4)</f>
        <v>54.365000000000002</v>
      </c>
      <c r="K5" s="3">
        <f>TRUNC(D5+F5+H5,4)</f>
        <v>368.1438</v>
      </c>
      <c r="L5" s="3">
        <f>TRUNC(J5/K5,4)</f>
        <v>0.14760000000000001</v>
      </c>
    </row>
    <row r="6" spans="1:13" ht="30" customHeight="1" x14ac:dyDescent="0.25">
      <c r="A6" s="10" t="s">
        <v>17</v>
      </c>
      <c r="B6" s="10" t="s">
        <v>16</v>
      </c>
      <c r="C6" s="2">
        <v>106.1</v>
      </c>
      <c r="D6" s="3">
        <f>TRUNC(C6*52/100,4)</f>
        <v>55.171999999999997</v>
      </c>
      <c r="E6" s="2">
        <v>106.3</v>
      </c>
      <c r="F6" s="3">
        <f>TRUNC(E6*213/100,4)</f>
        <v>226.41900000000001</v>
      </c>
      <c r="G6" s="2">
        <v>101.7</v>
      </c>
      <c r="H6" s="3">
        <f>TRUNC(G6*81.6/100,4)</f>
        <v>82.987200000000001</v>
      </c>
      <c r="I6" s="2">
        <v>109.38</v>
      </c>
      <c r="J6" s="3">
        <f>TRUNC(I6*50/100,4)</f>
        <v>54.69</v>
      </c>
      <c r="K6" s="3">
        <f>TRUNC(D6+F6+H6,4)</f>
        <v>364.57819999999998</v>
      </c>
      <c r="L6" s="3">
        <f>TRUNC(J6/K6,4)</f>
        <v>0.15</v>
      </c>
    </row>
    <row r="7" spans="1:13" x14ac:dyDescent="0.25">
      <c r="B7" s="4"/>
      <c r="C7" s="6"/>
      <c r="D7" s="7"/>
      <c r="E7" s="5"/>
      <c r="F7" s="4"/>
      <c r="G7" s="4"/>
    </row>
    <row r="8" spans="1:13" x14ac:dyDescent="0.25">
      <c r="B8" s="4"/>
      <c r="C8" s="6"/>
      <c r="D8" s="7"/>
      <c r="E8" s="5"/>
      <c r="F8" s="4"/>
      <c r="G8" s="4"/>
    </row>
    <row r="9" spans="1:13" x14ac:dyDescent="0.25">
      <c r="B9" s="4"/>
      <c r="C9" s="5"/>
      <c r="D9" s="5"/>
      <c r="E9" s="5"/>
      <c r="F9" s="4"/>
      <c r="G9" s="4"/>
    </row>
    <row r="10" spans="1:13" x14ac:dyDescent="0.25">
      <c r="B10" s="4"/>
      <c r="C10" s="5"/>
      <c r="D10" s="5"/>
      <c r="E10" s="5"/>
      <c r="F10" s="4"/>
      <c r="G10" s="4"/>
    </row>
    <row r="11" spans="1:13" x14ac:dyDescent="0.25">
      <c r="B11" s="4"/>
      <c r="C11" s="5"/>
      <c r="D11" s="5"/>
      <c r="E11" s="5"/>
      <c r="F11" s="4"/>
      <c r="G11" s="4"/>
    </row>
    <row r="12" spans="1:13" x14ac:dyDescent="0.25">
      <c r="B12" s="4"/>
      <c r="C12" s="4"/>
      <c r="D12" s="4"/>
      <c r="E12" s="4"/>
      <c r="F12" s="4"/>
      <c r="G12" s="4"/>
    </row>
  </sheetData>
  <mergeCells count="13">
    <mergeCell ref="M1:M2"/>
    <mergeCell ref="G1:G2"/>
    <mergeCell ref="H1:H2"/>
    <mergeCell ref="I1:I2"/>
    <mergeCell ref="J1:J2"/>
    <mergeCell ref="K1:K2"/>
    <mergeCell ref="L1:L2"/>
    <mergeCell ref="F1:F2"/>
    <mergeCell ref="A1:A3"/>
    <mergeCell ref="B1:B3"/>
    <mergeCell ref="C1:C2"/>
    <mergeCell ref="D1:D2"/>
    <mergeCell ref="E1:E2"/>
  </mergeCells>
  <pageMargins left="0.70866141732283472" right="0.70866141732283472" top="0.74803149606299213" bottom="0.74803149606299213" header="0.31496062992125984" footer="0.31496062992125984"/>
  <pageSetup paperSize="9" scale="65" orientation="landscape" verticalDpi="203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2026-06-24T09:26:08Z</dcterms:modified>
</cp:coreProperties>
</file>