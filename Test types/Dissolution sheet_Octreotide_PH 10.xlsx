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1670" windowHeight="4545" tabRatio="788"/>
  </bookViews>
  <sheets>
    <sheet name="42_2-8°C_" sheetId="98" r:id="rId1"/>
  </sheets>
  <definedNames>
    <definedName name="_xlnm.Print_Area" localSheetId="0">'42_2-8°C_'!$A$1:$J$91</definedName>
  </definedNames>
  <calcPr calcId="162913"/>
</workbook>
</file>

<file path=xl/calcChain.xml><?xml version="1.0" encoding="utf-8"?>
<calcChain xmlns="http://schemas.openxmlformats.org/spreadsheetml/2006/main">
  <c r="C71" i="98" l="1"/>
  <c r="C70" i="98" l="1"/>
  <c r="K87" i="98"/>
  <c r="L87" i="98" s="1"/>
  <c r="K86" i="98"/>
  <c r="L86" i="98" s="1"/>
  <c r="K85" i="98"/>
  <c r="L85" i="98" s="1"/>
  <c r="K84" i="98"/>
  <c r="L84" i="98" s="1"/>
  <c r="K83" i="98"/>
  <c r="L83" i="98" s="1"/>
  <c r="C83" i="98"/>
  <c r="K82" i="98"/>
  <c r="L82" i="98" s="1"/>
  <c r="C82" i="98"/>
  <c r="K81" i="98"/>
  <c r="L81" i="98" s="1"/>
  <c r="K80" i="98"/>
  <c r="L80" i="98" s="1"/>
  <c r="K79" i="98"/>
  <c r="L79" i="98" s="1"/>
  <c r="K78" i="98"/>
  <c r="L78" i="98" s="1"/>
  <c r="K77" i="98"/>
  <c r="L77" i="98" s="1"/>
  <c r="C77" i="98"/>
  <c r="K76" i="98"/>
  <c r="L76" i="98" s="1"/>
  <c r="C76" i="98"/>
  <c r="E76" i="98" s="1"/>
  <c r="K75" i="98"/>
  <c r="L75" i="98" s="1"/>
  <c r="M81" i="98" s="1"/>
  <c r="K74" i="98"/>
  <c r="L74" i="98" s="1"/>
  <c r="M80" i="98" s="1"/>
  <c r="K73" i="98"/>
  <c r="L73" i="98" s="1"/>
  <c r="M79" i="98" s="1"/>
  <c r="K72" i="98"/>
  <c r="L72" i="98" s="1"/>
  <c r="K71" i="98"/>
  <c r="L71" i="98" s="1"/>
  <c r="K70" i="98"/>
  <c r="L70" i="98" s="1"/>
  <c r="F70" i="98"/>
  <c r="K69" i="98"/>
  <c r="L69" i="98" s="1"/>
  <c r="M75" i="98" s="1"/>
  <c r="K68" i="98"/>
  <c r="L68" i="98" s="1"/>
  <c r="M74" i="98" s="1"/>
  <c r="K67" i="98"/>
  <c r="L67" i="98" s="1"/>
  <c r="M73" i="98" s="1"/>
  <c r="K66" i="98"/>
  <c r="L66" i="98" s="1"/>
  <c r="M72" i="98" s="1"/>
  <c r="K65" i="98"/>
  <c r="L65" i="98" s="1"/>
  <c r="M71" i="98" s="1"/>
  <c r="K57" i="98"/>
  <c r="L57" i="98" s="1"/>
  <c r="M69" i="98" s="1"/>
  <c r="K56" i="98"/>
  <c r="C56" i="98" s="1"/>
  <c r="K55" i="98"/>
  <c r="L55" i="98" s="1"/>
  <c r="M67" i="98" s="1"/>
  <c r="K54" i="98"/>
  <c r="L54" i="98" s="1"/>
  <c r="M66" i="98" s="1"/>
  <c r="K53" i="98"/>
  <c r="C53" i="98" s="1"/>
  <c r="K51" i="98"/>
  <c r="C51" i="98" s="1"/>
  <c r="K50" i="98"/>
  <c r="L50" i="98" s="1"/>
  <c r="M56" i="98" s="1"/>
  <c r="K49" i="98"/>
  <c r="L49" i="98" s="1"/>
  <c r="M55" i="98" s="1"/>
  <c r="K48" i="98"/>
  <c r="C48" i="98" s="1"/>
  <c r="K45" i="98"/>
  <c r="L45" i="98" s="1"/>
  <c r="M51" i="98" s="1"/>
  <c r="C45" i="98"/>
  <c r="K44" i="98"/>
  <c r="L44" i="98" s="1"/>
  <c r="M50" i="98" s="1"/>
  <c r="K43" i="98"/>
  <c r="L43" i="98" s="1"/>
  <c r="M49" i="98" s="1"/>
  <c r="K42" i="98"/>
  <c r="C42" i="98" s="1"/>
  <c r="H28" i="98"/>
  <c r="H29" i="98" s="1"/>
  <c r="H30" i="98" s="1"/>
  <c r="G28" i="98"/>
  <c r="G29" i="98" s="1"/>
  <c r="G30" i="98" s="1"/>
  <c r="F28" i="98"/>
  <c r="F29" i="98" s="1"/>
  <c r="F30" i="98" s="1"/>
  <c r="D28" i="98"/>
  <c r="D29" i="98" s="1"/>
  <c r="B28" i="98"/>
  <c r="B29" i="98" s="1"/>
  <c r="D27" i="98"/>
  <c r="B27" i="98"/>
  <c r="K52" i="98" s="1"/>
  <c r="L52" i="98" s="1"/>
  <c r="J19" i="98"/>
  <c r="B6" i="98"/>
  <c r="C55" i="98" l="1"/>
  <c r="C50" i="98"/>
  <c r="K41" i="98"/>
  <c r="L41" i="98" s="1"/>
  <c r="M47" i="98" s="1"/>
  <c r="K46" i="98"/>
  <c r="C46" i="98" s="1"/>
  <c r="K47" i="98"/>
  <c r="L47" i="98" s="1"/>
  <c r="M53" i="98" s="1"/>
  <c r="K64" i="98"/>
  <c r="L64" i="98" s="1"/>
  <c r="M70" i="98" s="1"/>
  <c r="M76" i="98" s="1"/>
  <c r="M82" i="98" s="1"/>
  <c r="K40" i="98"/>
  <c r="L40" i="98" s="1"/>
  <c r="M46" i="98" s="1"/>
  <c r="C43" i="98"/>
  <c r="M85" i="98"/>
  <c r="M86" i="98"/>
  <c r="M87" i="98"/>
  <c r="M78" i="98"/>
  <c r="M84" i="98" s="1"/>
  <c r="E82" i="98"/>
  <c r="D70" i="98"/>
  <c r="G70" i="98" s="1"/>
  <c r="C52" i="98"/>
  <c r="M77" i="98"/>
  <c r="M83" i="98" s="1"/>
  <c r="C41" i="98"/>
  <c r="L42" i="98"/>
  <c r="M48" i="98" s="1"/>
  <c r="L48" i="98"/>
  <c r="M54" i="98" s="1"/>
  <c r="L51" i="98"/>
  <c r="M57" i="98" s="1"/>
  <c r="L53" i="98"/>
  <c r="L56" i="98"/>
  <c r="M68" i="98" s="1"/>
  <c r="D76" i="98"/>
  <c r="G76" i="98" s="1"/>
  <c r="D82" i="98"/>
  <c r="G82" i="98" s="1"/>
  <c r="C49" i="98"/>
  <c r="C54" i="98"/>
  <c r="C57" i="98"/>
  <c r="E70" i="98"/>
  <c r="F76" i="98"/>
  <c r="F82" i="98"/>
  <c r="C44" i="98"/>
  <c r="L46" i="98"/>
  <c r="M52" i="98" l="1"/>
  <c r="M64" i="98" s="1"/>
  <c r="C40" i="98"/>
  <c r="D40" i="98"/>
  <c r="G40" i="98" s="1"/>
  <c r="C47" i="98"/>
  <c r="D46" i="98" s="1"/>
  <c r="G46" i="98" s="1"/>
  <c r="F40" i="98"/>
  <c r="E52" i="98"/>
  <c r="F46" i="98"/>
  <c r="E40" i="98"/>
  <c r="M65" i="98"/>
  <c r="E46" i="98"/>
  <c r="D52" i="98"/>
  <c r="G52" i="98" s="1"/>
  <c r="F52" i="98"/>
</calcChain>
</file>

<file path=xl/sharedStrings.xml><?xml version="1.0" encoding="utf-8"?>
<sst xmlns="http://schemas.openxmlformats.org/spreadsheetml/2006/main" count="109" uniqueCount="88">
  <si>
    <t>Mean</t>
  </si>
  <si>
    <t>% RSD</t>
  </si>
  <si>
    <t>% Assay</t>
  </si>
  <si>
    <t>Min</t>
  </si>
  <si>
    <t>Max</t>
  </si>
  <si>
    <t>RSD</t>
  </si>
  <si>
    <t>R &amp; D Gandhinagar</t>
  </si>
  <si>
    <t>Analytical Development</t>
  </si>
  <si>
    <t>Generic Name</t>
  </si>
  <si>
    <t>Product Name</t>
  </si>
  <si>
    <t>TRF No.</t>
  </si>
  <si>
    <t>AR No.</t>
  </si>
  <si>
    <t>Batch No.</t>
  </si>
  <si>
    <t>Test</t>
  </si>
  <si>
    <t>Analysis as per</t>
  </si>
  <si>
    <t>Analysed By</t>
  </si>
  <si>
    <t>Instrument Id.</t>
  </si>
  <si>
    <t>Date of Analysis</t>
  </si>
  <si>
    <t>Standard detail</t>
  </si>
  <si>
    <t>Standard name</t>
  </si>
  <si>
    <t>Potency</t>
  </si>
  <si>
    <t>Molecular weight of base</t>
  </si>
  <si>
    <t>Molecular weight of salt</t>
  </si>
  <si>
    <t>Dilution-1 (mL)</t>
  </si>
  <si>
    <t>Volume-1 (mL)</t>
  </si>
  <si>
    <t>Dilution-2 (mL)</t>
  </si>
  <si>
    <t>Concentration (ppm)</t>
  </si>
  <si>
    <t>SR.No.</t>
  </si>
  <si>
    <t>Standard area</t>
  </si>
  <si>
    <t>BKT-1</t>
  </si>
  <si>
    <t>BKT-2</t>
  </si>
  <si>
    <t>BKT-3</t>
  </si>
  <si>
    <t>BKT-4</t>
  </si>
  <si>
    <t>BKT-5</t>
  </si>
  <si>
    <t>STDev</t>
  </si>
  <si>
    <t>Sample Area</t>
  </si>
  <si>
    <t>Checked By :</t>
  </si>
  <si>
    <t>Date :</t>
  </si>
  <si>
    <t>Donot Delet</t>
  </si>
  <si>
    <t>Media</t>
  </si>
  <si>
    <t>Dissolution Parameter</t>
  </si>
  <si>
    <t>Dissolution Unit</t>
  </si>
  <si>
    <t xml:space="preserve"> Unit-1</t>
  </si>
  <si>
    <t xml:space="preserve"> Unit-2</t>
  </si>
  <si>
    <t xml:space="preserve"> Unit-3</t>
  </si>
  <si>
    <t xml:space="preserve"> Unit-4</t>
  </si>
  <si>
    <t xml:space="preserve"> Unit-5</t>
  </si>
  <si>
    <t xml:space="preserve"> Unit-6</t>
  </si>
  <si>
    <t>Apparatus</t>
  </si>
  <si>
    <t>Stability Condition</t>
  </si>
  <si>
    <t>Volume in mL</t>
  </si>
  <si>
    <t>RPM</t>
  </si>
  <si>
    <t>Media volume</t>
  </si>
  <si>
    <t>Temp °C</t>
  </si>
  <si>
    <t>Pipette Vol . mL</t>
  </si>
  <si>
    <t>V.F. Vol. mL</t>
  </si>
  <si>
    <t xml:space="preserve">Sample withdrow/ Relplace </t>
  </si>
  <si>
    <t>Time Points</t>
  </si>
  <si>
    <t>Bottle Rotating</t>
  </si>
  <si>
    <t>Octreotide Acetate for Injectable suspension</t>
  </si>
  <si>
    <t>Octreotide Acetate</t>
  </si>
  <si>
    <t>1 hr at 37°C</t>
  </si>
  <si>
    <t>4 hr at 55°C</t>
  </si>
  <si>
    <t>24 hr at 55°C</t>
  </si>
  <si>
    <t>%Results</t>
  </si>
  <si>
    <t>Analysed By :</t>
  </si>
  <si>
    <r>
      <rPr>
        <b/>
        <sz val="12"/>
        <rFont val="Arial"/>
        <family val="2"/>
      </rPr>
      <t>Media: 0.016M Phospahte buffer in 0.1% w/v Tween 80 in water pH 10 with TEA:</t>
    </r>
    <r>
      <rPr>
        <sz val="12"/>
        <rFont val="Arial"/>
        <family val="2"/>
      </rPr>
      <t xml:space="preserve">
Take 2.20g of potassium dihydrogen phosphate in 1.0 liter of 0.1% w/v tween 80 in water. sonicate to dissolve it. Adjust pH 10 with TEA.
</t>
    </r>
  </si>
  <si>
    <t>37°C and 55°C</t>
  </si>
  <si>
    <t>Dissolution Calculation Sheet</t>
  </si>
  <si>
    <t>% Assay (w/w) of Octreotide Acetate in Pooled sample (Blend)</t>
  </si>
  <si>
    <t>In house</t>
  </si>
  <si>
    <t xml:space="preserve"> %Residue of Octreotide Base</t>
  </si>
  <si>
    <t>%Release of Octreotide Base</t>
  </si>
  <si>
    <t>%Residue of Octreotide Base</t>
  </si>
  <si>
    <t>Weight in mg for 1 hr</t>
  </si>
  <si>
    <t>Weight in mg for 4 hr</t>
  </si>
  <si>
    <t>Weight in mg for 24 hr</t>
  </si>
  <si>
    <t>Weight (mg) of Standard</t>
  </si>
  <si>
    <t>In Vitro Release</t>
  </si>
  <si>
    <t>2-8°C_36M</t>
  </si>
  <si>
    <t>Yaksh Patel</t>
  </si>
  <si>
    <t>AD/HPLC/053</t>
  </si>
  <si>
    <t>TRF-072-24-063,</t>
  </si>
  <si>
    <t>AD/006/24/0379,</t>
  </si>
  <si>
    <t>EP20_378-022,</t>
  </si>
  <si>
    <t>3152088</t>
  </si>
  <si>
    <t>3270742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</si>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</sst>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12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24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3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4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26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3" fillId="0" borderId="8" xfId="0" applyFont="1" applyBorder="1" applyProtection="1">
      <protection hidden="1"/>
    </xf>
    <xf numFmtId="0" fontId="3" fillId="0" borderId="9" xfId="0" applyFont="1" applyBorder="1" applyProtection="1">
      <protection hidden="1"/>
    </xf>
    <xf numFmtId="0" fontId="3" fillId="0" borderId="10" xfId="0" applyFont="1" applyBorder="1" applyProtection="1">
      <protection hidden="1"/>
    </xf>
    <xf numFmtId="0" fontId="3" fillId="0" borderId="0" xfId="0" applyFont="1" applyProtection="1">
      <protection hidden="1"/>
    </xf>
    <xf numFmtId="0" fontId="0" fillId="0" borderId="0" xfId="0" applyBorder="1" applyProtection="1">
      <protection hidden="1"/>
    </xf>
    <xf numFmtId="0" fontId="0" fillId="0" borderId="0" xfId="0" applyProtection="1">
      <protection hidden="1"/>
    </xf>
    <xf numFmtId="0" fontId="5" fillId="0" borderId="13" xfId="0" applyFont="1" applyFill="1" applyBorder="1" applyAlignment="1" applyProtection="1">
      <alignment vertical="center"/>
      <protection hidden="1"/>
    </xf>
    <xf numFmtId="0" fontId="3" fillId="0" borderId="0" xfId="0" applyFont="1" applyFill="1" applyProtection="1">
      <protection hidden="1"/>
    </xf>
    <xf numFmtId="0" fontId="5" fillId="0" borderId="13" xfId="0" applyFont="1" applyFill="1" applyBorder="1" applyAlignment="1" applyProtection="1">
      <alignment horizontal="left" vertical="center"/>
      <protection hidden="1"/>
    </xf>
    <xf numFmtId="0" fontId="0" fillId="0" borderId="11" xfId="0" applyBorder="1" applyProtection="1">
      <protection hidden="1"/>
    </xf>
    <xf numFmtId="0" fontId="0" fillId="0" borderId="12" xfId="0" applyBorder="1" applyProtection="1">
      <protection hidden="1"/>
    </xf>
    <xf numFmtId="0" fontId="0" fillId="4" borderId="11" xfId="0" applyFont="1" applyFill="1" applyBorder="1" applyAlignment="1" applyProtection="1">
      <alignment horizontal="left" vertical="center" wrapText="1"/>
      <protection hidden="1"/>
    </xf>
    <xf numFmtId="2" fontId="0" fillId="2" borderId="0" xfId="0" applyNumberFormat="1" applyFont="1" applyFill="1" applyBorder="1" applyAlignment="1" applyProtection="1">
      <alignment horizontal="center" vertical="center" wrapText="1"/>
      <protection hidden="1"/>
    </xf>
    <xf numFmtId="165" fontId="0" fillId="2" borderId="0" xfId="0" applyNumberFormat="1" applyFont="1" applyFill="1" applyBorder="1" applyAlignment="1" applyProtection="1">
      <alignment horizontal="center" vertical="center" wrapText="1"/>
      <protection hidden="1"/>
    </xf>
    <xf numFmtId="1" fontId="0" fillId="2" borderId="0" xfId="0" applyNumberFormat="1" applyFont="1" applyFill="1" applyBorder="1" applyAlignment="1" applyProtection="1">
      <alignment horizontal="center" vertical="center" wrapText="1"/>
      <protection hidden="1"/>
    </xf>
    <xf numFmtId="1" fontId="3" fillId="5" borderId="13" xfId="0" applyNumberFormat="1" applyFont="1" applyFill="1" applyBorder="1" applyAlignment="1" applyProtection="1">
      <alignment horizontal="center" vertical="center"/>
      <protection hidden="1"/>
    </xf>
    <xf numFmtId="1" fontId="3" fillId="5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/>
      <protection hidden="1"/>
    </xf>
    <xf numFmtId="2" fontId="3" fillId="5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164" fontId="3" fillId="5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13" xfId="0" applyFont="1" applyBorder="1" applyAlignment="1" applyProtection="1">
      <alignment horizontal="center" vertical="center" wrapText="1"/>
      <protection hidden="1"/>
    </xf>
    <xf numFmtId="0" fontId="4" fillId="3" borderId="0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horizontal="center" vertical="center" wrapText="1"/>
      <protection hidden="1"/>
    </xf>
    <xf numFmtId="165" fontId="3" fillId="5" borderId="0" xfId="0" applyNumberFormat="1" applyFont="1" applyFill="1" applyBorder="1" applyAlignment="1" applyProtection="1">
      <alignment horizontal="center" vertical="center"/>
      <protection hidden="1"/>
    </xf>
    <xf numFmtId="0" fontId="4" fillId="3" borderId="0" xfId="0" applyFont="1" applyFill="1" applyBorder="1" applyAlignment="1" applyProtection="1">
      <alignment horizontal="center" vertical="center"/>
      <protection hidden="1"/>
    </xf>
    <xf numFmtId="164" fontId="0" fillId="0" borderId="14" xfId="0" applyNumberFormat="1" applyFont="1" applyBorder="1" applyAlignment="1" applyProtection="1">
      <alignment horizontal="center" vertical="center" wrapText="1"/>
      <protection hidden="1"/>
    </xf>
    <xf numFmtId="0" fontId="4" fillId="0" borderId="13" xfId="0" applyFont="1" applyFill="1" applyBorder="1" applyAlignment="1" applyProtection="1">
      <alignment horizontal="right"/>
      <protection hidden="1"/>
    </xf>
    <xf numFmtId="0" fontId="3" fillId="2" borderId="1" xfId="0" applyFont="1" applyFill="1" applyBorder="1" applyAlignment="1" applyProtection="1">
      <protection hidden="1"/>
    </xf>
    <xf numFmtId="0" fontId="3" fillId="2" borderId="0" xfId="0" applyFont="1" applyFill="1" applyBorder="1" applyAlignment="1" applyProtection="1">
      <protection hidden="1"/>
    </xf>
    <xf numFmtId="0" fontId="4" fillId="0" borderId="1" xfId="0" applyFont="1" applyFill="1" applyBorder="1" applyAlignment="1" applyProtection="1">
      <protection hidden="1"/>
    </xf>
    <xf numFmtId="0" fontId="3" fillId="2" borderId="1" xfId="0" quotePrefix="1" applyNumberFormat="1" applyFont="1" applyFill="1" applyBorder="1" applyAlignment="1" applyProtection="1">
      <protection hidden="1"/>
    </xf>
    <xf numFmtId="0" fontId="3" fillId="2" borderId="0" xfId="0" applyNumberFormat="1" applyFont="1" applyFill="1" applyBorder="1" applyAlignment="1" applyProtection="1">
      <protection hidden="1"/>
    </xf>
    <xf numFmtId="0" fontId="4" fillId="3" borderId="12" xfId="0" applyFont="1" applyFill="1" applyBorder="1" applyAlignment="1" applyProtection="1">
      <alignment vertical="center"/>
      <protection hidden="1"/>
    </xf>
    <xf numFmtId="0" fontId="3" fillId="0" borderId="0" xfId="0" applyFont="1" applyBorder="1" applyProtection="1"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0" fontId="0" fillId="0" borderId="0" xfId="0" applyFill="1" applyBorder="1" applyProtection="1">
      <protection hidden="1"/>
    </xf>
    <xf numFmtId="0" fontId="0" fillId="0" borderId="0" xfId="0" applyFill="1" applyBorder="1" applyAlignment="1" applyProtection="1">
      <alignment horizontal="center"/>
      <protection hidden="1"/>
    </xf>
    <xf numFmtId="165" fontId="0" fillId="0" borderId="0" xfId="0" applyNumberForma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7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Protection="1">
      <protection hidden="1"/>
    </xf>
    <xf numFmtId="2" fontId="2" fillId="0" borderId="1" xfId="0" applyNumberFormat="1" applyFont="1" applyBorder="1" applyAlignment="1" applyProtection="1">
      <alignment horizontal="center"/>
      <protection hidden="1"/>
    </xf>
    <xf numFmtId="2" fontId="0" fillId="0" borderId="0" xfId="0" applyNumberFormat="1" applyProtection="1">
      <protection hidden="1"/>
    </xf>
    <xf numFmtId="0" fontId="0" fillId="0" borderId="22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24" xfId="0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49" fontId="3" fillId="7" borderId="1" xfId="0" applyNumberFormat="1" applyFont="1" applyFill="1" applyBorder="1" applyAlignment="1" applyProtection="1">
      <alignment horizontal="center" vertical="top"/>
      <protection locked="0"/>
    </xf>
    <xf numFmtId="166" fontId="3" fillId="7" borderId="30" xfId="0" applyNumberFormat="1" applyFont="1" applyFill="1" applyBorder="1" applyAlignment="1" applyProtection="1">
      <alignment horizontal="center" vertical="center"/>
      <protection locked="0"/>
    </xf>
    <xf numFmtId="1" fontId="3" fillId="7" borderId="14" xfId="0" applyNumberFormat="1" applyFont="1" applyFill="1" applyBorder="1" applyAlignment="1" applyProtection="1">
      <alignment horizontal="center" vertical="center"/>
      <protection locked="0"/>
    </xf>
    <xf numFmtId="166" fontId="3" fillId="7" borderId="14" xfId="0" applyNumberFormat="1" applyFont="1" applyFill="1" applyBorder="1" applyAlignment="1" applyProtection="1">
      <alignment horizontal="center" vertical="center"/>
      <protection locked="0"/>
    </xf>
    <xf numFmtId="1" fontId="0" fillId="8" borderId="1" xfId="0" applyNumberFormat="1" applyFont="1" applyFill="1" applyBorder="1" applyAlignment="1" applyProtection="1">
      <alignment horizontal="center" vertical="center" wrapText="1"/>
      <protection locked="0"/>
    </xf>
    <xf numFmtId="2" fontId="0" fillId="8" borderId="1" xfId="0" applyNumberFormat="1" applyFont="1" applyFill="1" applyBorder="1" applyAlignment="1" applyProtection="1">
      <alignment horizontal="center" vertical="center" wrapText="1"/>
      <protection locked="0"/>
    </xf>
    <xf numFmtId="165" fontId="0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Fill="1" applyBorder="1" applyAlignment="1" applyProtection="1">
      <alignment horizontal="center" vertical="center"/>
      <protection hidden="1"/>
    </xf>
    <xf numFmtId="164" fontId="3" fillId="7" borderId="1" xfId="0" applyNumberFormat="1" applyFont="1" applyFill="1" applyBorder="1" applyAlignment="1" applyProtection="1">
      <alignment horizontal="center" vertical="top"/>
      <protection locked="0"/>
    </xf>
    <xf numFmtId="2" fontId="3" fillId="7" borderId="1" xfId="0" applyNumberFormat="1" applyFont="1" applyFill="1" applyBorder="1" applyAlignment="1" applyProtection="1">
      <alignment horizontal="center" vertical="center"/>
      <protection locked="0"/>
    </xf>
    <xf numFmtId="1" fontId="4" fillId="5" borderId="13" xfId="0" applyNumberFormat="1" applyFont="1" applyFill="1" applyBorder="1" applyAlignment="1" applyProtection="1">
      <alignment horizontal="center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0" fontId="1" fillId="9" borderId="13" xfId="0" applyFont="1" applyFill="1" applyBorder="1" applyAlignment="1" applyProtection="1">
      <alignment horizontal="center" vertical="center" wrapText="1"/>
      <protection locked="0"/>
    </xf>
    <xf numFmtId="0" fontId="1" fillId="3" borderId="13" xfId="0" applyFont="1" applyFill="1" applyBorder="1" applyAlignment="1" applyProtection="1">
      <alignment horizontal="center" vertical="center" wrapText="1"/>
      <protection hidden="1"/>
    </xf>
    <xf numFmtId="164" fontId="1" fillId="0" borderId="1" xfId="0" applyNumberFormat="1" applyFont="1" applyBorder="1" applyAlignment="1" applyProtection="1">
      <alignment horizontal="center" vertical="center" wrapText="1"/>
      <protection hidden="1"/>
    </xf>
    <xf numFmtId="0" fontId="1" fillId="0" borderId="14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wrapText="1"/>
      <protection hidden="1"/>
    </xf>
    <xf numFmtId="0" fontId="1" fillId="0" borderId="0" xfId="0" applyFont="1" applyFill="1" applyBorder="1" applyAlignment="1" applyProtection="1">
      <alignment horizontal="center" vertical="center" wrapText="1"/>
      <protection hidden="1"/>
    </xf>
    <xf numFmtId="164" fontId="8" fillId="0" borderId="0" xfId="0" applyNumberFormat="1" applyFont="1" applyBorder="1" applyAlignment="1" applyProtection="1">
      <alignment horizontal="center" vertical="center" wrapText="1"/>
      <protection hidden="1"/>
    </xf>
    <xf numFmtId="164" fontId="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3" fillId="0" borderId="0" xfId="0" applyFont="1" applyBorder="1" applyAlignment="1" applyProtection="1">
      <alignment horizontal="center"/>
      <protection hidden="1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/>
      <protection hidden="1"/>
    </xf>
    <xf numFmtId="2" fontId="3" fillId="7" borderId="1" xfId="0" applyNumberFormat="1" applyFont="1" applyFill="1" applyBorder="1" applyAlignment="1" applyProtection="1">
      <alignment horizontal="center" vertical="top"/>
      <protection locked="0"/>
    </xf>
    <xf numFmtId="1" fontId="4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8" borderId="18" xfId="0" applyFont="1" applyFill="1" applyBorder="1" applyAlignment="1" applyProtection="1">
      <alignment horizontal="left" vertical="center"/>
      <protection locked="0"/>
    </xf>
    <xf numFmtId="2" fontId="3" fillId="7" borderId="1" xfId="0" applyNumberFormat="1" applyFont="1" applyFill="1" applyBorder="1" applyAlignment="1" applyProtection="1">
      <alignment horizontal="center" vertical="top"/>
      <protection locked="0"/>
    </xf>
    <xf numFmtId="1" fontId="3" fillId="7" borderId="1" xfId="0" applyNumberFormat="1" applyFont="1" applyFill="1" applyBorder="1" applyAlignment="1" applyProtection="1">
      <alignment horizontal="center" vertical="top"/>
      <protection locked="0"/>
    </xf>
    <xf numFmtId="0" fontId="3" fillId="0" borderId="2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1" fillId="0" borderId="19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164" fontId="10" fillId="0" borderId="4" xfId="0" applyNumberFormat="1" applyFont="1" applyBorder="1" applyAlignment="1" applyProtection="1">
      <alignment horizontal="center" vertical="center" wrapText="1"/>
      <protection hidden="1"/>
    </xf>
    <xf numFmtId="164" fontId="10" fillId="0" borderId="5" xfId="0" applyNumberFormat="1" applyFont="1" applyBorder="1" applyAlignment="1" applyProtection="1">
      <alignment horizontal="center" vertical="center" wrapText="1"/>
      <protection hidden="1"/>
    </xf>
    <xf numFmtId="164" fontId="10" fillId="0" borderId="6" xfId="0" applyNumberFormat="1" applyFont="1" applyBorder="1" applyAlignment="1" applyProtection="1">
      <alignment horizontal="center" vertical="center" wrapText="1"/>
      <protection hidden="1"/>
    </xf>
    <xf numFmtId="164" fontId="8" fillId="0" borderId="4" xfId="0" applyNumberFormat="1" applyFont="1" applyBorder="1" applyAlignment="1" applyProtection="1">
      <alignment horizontal="center" vertical="center" wrapText="1"/>
      <protection hidden="1"/>
    </xf>
    <xf numFmtId="164" fontId="8" fillId="0" borderId="5" xfId="0" applyNumberFormat="1" applyFont="1" applyBorder="1" applyAlignment="1" applyProtection="1">
      <alignment horizontal="center" vertical="center" wrapText="1"/>
      <protection hidden="1"/>
    </xf>
    <xf numFmtId="164" fontId="8" fillId="0" borderId="6" xfId="0" applyNumberFormat="1" applyFont="1" applyBorder="1" applyAlignment="1" applyProtection="1">
      <alignment horizontal="center" vertical="center" wrapText="1"/>
      <protection hidden="1"/>
    </xf>
    <xf numFmtId="164" fontId="8" fillId="0" borderId="4" xfId="0" applyNumberFormat="1" applyFont="1" applyFill="1" applyBorder="1" applyAlignment="1" applyProtection="1">
      <alignment horizontal="center" vertical="center"/>
      <protection hidden="1"/>
    </xf>
    <xf numFmtId="164" fontId="8" fillId="0" borderId="5" xfId="0" applyNumberFormat="1" applyFont="1" applyFill="1" applyBorder="1" applyAlignment="1" applyProtection="1">
      <alignment horizontal="center" vertical="center"/>
      <protection hidden="1"/>
    </xf>
    <xf numFmtId="164" fontId="8" fillId="0" borderId="6" xfId="0" applyNumberFormat="1" applyFont="1" applyFill="1" applyBorder="1" applyAlignment="1" applyProtection="1">
      <alignment horizontal="center" vertical="center"/>
      <protection hidden="1"/>
    </xf>
    <xf numFmtId="0" fontId="0" fillId="0" borderId="31" xfId="0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9" fillId="0" borderId="31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 wrapText="1"/>
      <protection locked="0"/>
    </xf>
    <xf numFmtId="0" fontId="1" fillId="0" borderId="32" xfId="0" applyFont="1" applyBorder="1" applyAlignment="1" applyProtection="1">
      <alignment horizontal="center" vertical="center" wrapText="1"/>
      <protection locked="0"/>
    </xf>
    <xf numFmtId="0" fontId="1" fillId="0" borderId="33" xfId="0" applyFont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horizontal="center" vertical="center" wrapText="1"/>
      <protection locked="0"/>
    </xf>
    <xf numFmtId="49" fontId="4" fillId="7" borderId="4" xfId="0" applyNumberFormat="1" applyFont="1" applyFill="1" applyBorder="1" applyAlignment="1" applyProtection="1">
      <alignment horizontal="center" vertical="center" wrapText="1"/>
      <protection locked="0"/>
    </xf>
    <xf numFmtId="49" fontId="4" fillId="7" borderId="5" xfId="0" applyNumberFormat="1" applyFont="1" applyFill="1" applyBorder="1" applyAlignment="1" applyProtection="1">
      <alignment horizontal="center" vertical="center" wrapText="1"/>
      <protection locked="0"/>
    </xf>
    <xf numFmtId="49" fontId="4" fillId="7" borderId="6" xfId="0" applyNumberFormat="1" applyFont="1" applyFill="1" applyBorder="1" applyAlignment="1" applyProtection="1">
      <alignment horizontal="center" vertical="center" wrapText="1"/>
      <protection locked="0"/>
    </xf>
    <xf numFmtId="2" fontId="4" fillId="0" borderId="4" xfId="0" applyNumberFormat="1" applyFont="1" applyFill="1" applyBorder="1" applyAlignment="1" applyProtection="1">
      <alignment horizontal="center" vertical="center" wrapText="1"/>
      <protection hidden="1"/>
    </xf>
    <xf numFmtId="2" fontId="4" fillId="0" borderId="5" xfId="0" applyNumberFormat="1" applyFont="1" applyFill="1" applyBorder="1" applyAlignment="1" applyProtection="1">
      <alignment horizontal="center" vertical="center" wrapText="1"/>
      <protection hidden="1"/>
    </xf>
    <xf numFmtId="2" fontId="4" fillId="0" borderId="6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4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Fill="1" applyBorder="1" applyAlignment="1" applyProtection="1">
      <alignment horizontal="center" vertical="center" wrapText="1"/>
      <protection hidden="1"/>
    </xf>
    <xf numFmtId="0" fontId="1" fillId="0" borderId="6" xfId="0" applyFont="1" applyFill="1" applyBorder="1" applyAlignment="1" applyProtection="1">
      <alignment horizontal="center" vertical="center" wrapText="1"/>
      <protection hidden="1"/>
    </xf>
    <xf numFmtId="164" fontId="8" fillId="0" borderId="1" xfId="0" applyNumberFormat="1" applyFont="1" applyFill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1" fillId="0" borderId="18" xfId="0" applyFont="1" applyBorder="1" applyAlignment="1" applyProtection="1">
      <alignment horizontal="center"/>
      <protection hidden="1"/>
    </xf>
    <xf numFmtId="166" fontId="11" fillId="7" borderId="15" xfId="0" applyNumberFormat="1" applyFont="1" applyFill="1" applyBorder="1" applyAlignment="1" applyProtection="1">
      <alignment horizontal="left" vertical="top" wrapText="1"/>
      <protection locked="0"/>
    </xf>
    <xf numFmtId="166" fontId="11" fillId="7" borderId="26" xfId="0" applyNumberFormat="1" applyFont="1" applyFill="1" applyBorder="1" applyAlignment="1" applyProtection="1">
      <alignment horizontal="left" vertical="top" wrapText="1"/>
      <protection locked="0"/>
    </xf>
    <xf numFmtId="166" fontId="11" fillId="7" borderId="25" xfId="0" applyNumberFormat="1" applyFont="1" applyFill="1" applyBorder="1" applyAlignment="1" applyProtection="1">
      <alignment horizontal="left" vertical="top" wrapText="1"/>
      <protection locked="0"/>
    </xf>
    <xf numFmtId="166" fontId="11" fillId="7" borderId="27" xfId="0" applyNumberFormat="1" applyFont="1" applyFill="1" applyBorder="1" applyAlignment="1" applyProtection="1">
      <alignment horizontal="left" vertical="top" wrapText="1"/>
      <protection locked="0"/>
    </xf>
    <xf numFmtId="166" fontId="11" fillId="7" borderId="28" xfId="0" applyNumberFormat="1" applyFont="1" applyFill="1" applyBorder="1" applyAlignment="1" applyProtection="1">
      <alignment horizontal="left" vertical="top" wrapText="1"/>
      <protection locked="0"/>
    </xf>
    <xf numFmtId="166" fontId="11" fillId="7" borderId="29" xfId="0" applyNumberFormat="1" applyFont="1" applyFill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horizontal="center"/>
      <protection hidden="1"/>
    </xf>
    <xf numFmtId="2" fontId="3" fillId="7" borderId="1" xfId="0" applyNumberFormat="1" applyFont="1" applyFill="1" applyBorder="1" applyAlignment="1" applyProtection="1">
      <alignment horizontal="center" vertical="top"/>
      <protection locked="0"/>
    </xf>
    <xf numFmtId="0" fontId="2" fillId="6" borderId="0" xfId="0" applyFont="1" applyFill="1" applyBorder="1" applyAlignment="1" applyProtection="1">
      <alignment horizont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4" fillId="5" borderId="14" xfId="0" applyNumberFormat="1" applyFont="1" applyFill="1" applyBorder="1" applyAlignment="1" applyProtection="1">
      <alignment horizontal="center" vertical="center" wrapText="1"/>
      <protection hidden="1"/>
    </xf>
    <xf numFmtId="0" fontId="3" fillId="8" borderId="1" xfId="0" applyFont="1" applyFill="1" applyBorder="1" applyAlignment="1" applyProtection="1">
      <alignment horizontal="left" vertical="center"/>
      <protection locked="0"/>
    </xf>
    <xf numFmtId="0" fontId="3" fillId="8" borderId="14" xfId="0" applyFont="1" applyFill="1" applyBorder="1" applyAlignment="1" applyProtection="1">
      <alignment horizontal="left" vertical="center"/>
      <protection locked="0"/>
    </xf>
    <xf numFmtId="0" fontId="3" fillId="8" borderId="2" xfId="0" applyFont="1" applyFill="1" applyBorder="1" applyAlignment="1" applyProtection="1">
      <alignment horizontal="left" vertical="center"/>
      <protection locked="0"/>
    </xf>
    <xf numFmtId="0" fontId="3" fillId="8" borderId="7" xfId="0" applyFont="1" applyFill="1" applyBorder="1" applyAlignment="1" applyProtection="1">
      <alignment horizontal="left" vertical="center"/>
      <protection locked="0"/>
    </xf>
    <xf numFmtId="0" fontId="3" fillId="8" borderId="18" xfId="0" applyFont="1" applyFill="1" applyBorder="1" applyAlignment="1" applyProtection="1">
      <alignment horizontal="left" vertical="center"/>
      <protection locked="0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3" fillId="8" borderId="14" xfId="0" applyFont="1" applyFill="1" applyBorder="1" applyAlignment="1" applyProtection="1">
      <alignment horizontal="left" vertical="center" wrapText="1"/>
      <protection locked="0"/>
    </xf>
    <xf numFmtId="0" fontId="3" fillId="8" borderId="2" xfId="0" applyNumberFormat="1" applyFont="1" applyFill="1" applyBorder="1" applyAlignment="1" applyProtection="1">
      <alignment horizontal="left" vertical="center"/>
      <protection locked="0"/>
    </xf>
    <xf numFmtId="0" fontId="3" fillId="8" borderId="7" xfId="0" quotePrefix="1" applyNumberFormat="1" applyFont="1" applyFill="1" applyBorder="1" applyAlignment="1" applyProtection="1">
      <alignment horizontal="left" vertical="center"/>
      <protection locked="0"/>
    </xf>
    <xf numFmtId="0" fontId="3" fillId="8" borderId="18" xfId="0" quotePrefix="1" applyNumberFormat="1" applyFont="1" applyFill="1" applyBorder="1" applyAlignment="1" applyProtection="1">
      <alignment horizontal="left" vertical="center"/>
      <protection locked="0"/>
    </xf>
    <xf numFmtId="14" fontId="3" fillId="8" borderId="1" xfId="0" applyNumberFormat="1" applyFont="1" applyFill="1" applyBorder="1" applyAlignment="1" applyProtection="1">
      <alignment horizontal="left" vertical="center"/>
      <protection locked="0"/>
    </xf>
    <xf numFmtId="0" fontId="6" fillId="3" borderId="13" xfId="0" applyFont="1" applyFill="1" applyBorder="1" applyAlignment="1" applyProtection="1">
      <alignment horizontal="center" vertical="center" wrapText="1"/>
      <protection hidden="1"/>
    </xf>
    <xf numFmtId="0" fontId="6" fillId="3" borderId="1" xfId="0" applyFont="1" applyFill="1" applyBorder="1" applyAlignment="1" applyProtection="1">
      <alignment horizontal="center" vertical="center" wrapText="1"/>
      <protection hidden="1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165" fontId="0" fillId="8" borderId="2" xfId="0" applyNumberFormat="1" applyFont="1" applyFill="1" applyBorder="1" applyAlignment="1" applyProtection="1">
      <alignment horizontal="center" vertical="center" wrapText="1"/>
      <protection locked="0"/>
    </xf>
    <xf numFmtId="165" fontId="0" fillId="8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/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4" fillId="0" borderId="12" xfId="0" applyFont="1" applyBorder="1" applyAlignment="1" applyProtection="1">
      <alignment horizontal="center"/>
      <protection hidden="1"/>
    </xf>
    <xf numFmtId="0" fontId="3" fillId="8" borderId="15" xfId="0" applyFont="1" applyFill="1" applyBorder="1" applyAlignment="1" applyProtection="1">
      <alignment horizontal="left" vertical="center"/>
      <protection locked="0"/>
    </xf>
    <xf numFmtId="0" fontId="3" fillId="8" borderId="16" xfId="0" applyFont="1" applyFill="1" applyBorder="1" applyAlignment="1" applyProtection="1">
      <alignment horizontal="left" vertical="center"/>
      <protection locked="0"/>
    </xf>
    <xf numFmtId="0" fontId="3" fillId="8" borderId="17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8CCE4"/>
      <color rgb="FFFCD5B4"/>
      <color rgb="FFFF99CC"/>
      <color rgb="FF92D05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152733</xdr:colOff>
      <xdr:row>0</xdr:row>
      <xdr:rowOff>27214</xdr:rowOff>
    </xdr:from>
    <xdr:to>
      <xdr:col>4</xdr:col>
      <xdr:colOff>340179</xdr:colOff>
      <xdr:row>1</xdr:row>
      <xdr:rowOff>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683" y="27214"/>
          <a:ext cx="1787646" cy="315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1"/>
  <sheetViews>
    <sheetView tabSelected="1" topLeftCell="A25" zoomScale="80" zoomScaleNormal="80" zoomScaleSheetLayoutView="75" workbookViewId="0">
      <selection activeCell="B83" sqref="B83"/>
    </sheetView>
  </sheetViews>
  <sheetFormatPr defaultRowHeight="15" x14ac:dyDescent="0.25"/>
  <cols>
    <col min="1" max="1" width="22" style="6" customWidth="1"/>
    <col min="2" max="2" width="30.28515625" style="6" customWidth="1"/>
    <col min="3" max="3" width="27.42578125" style="51" customWidth="1"/>
    <col min="4" max="4" width="24" style="6" customWidth="1"/>
    <col min="5" max="5" width="16.5703125" style="6" customWidth="1"/>
    <col min="6" max="6" width="15" style="6" bestFit="1" customWidth="1"/>
    <col min="7" max="8" width="18.85546875" style="6" customWidth="1"/>
    <col min="9" max="9" width="15" style="6" bestFit="1" customWidth="1"/>
    <col min="10" max="10" width="18.28515625" style="6" customWidth="1"/>
    <col min="11" max="11" width="10.7109375" style="6" customWidth="1"/>
    <col min="12" max="12" width="12.140625" style="6" customWidth="1"/>
    <col min="13" max="13" width="11.7109375" style="6" customWidth="1"/>
    <col min="14" max="16384" width="9.140625" style="6"/>
  </cols>
  <sheetData>
    <row r="1" spans="1:10" s="4" customFormat="1" ht="27" customHeight="1" x14ac:dyDescent="0.2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s="4" customFormat="1" x14ac:dyDescent="0.25">
      <c r="A2" s="152" t="s">
        <v>6</v>
      </c>
      <c r="B2" s="153"/>
      <c r="C2" s="153"/>
      <c r="D2" s="153"/>
      <c r="E2" s="153"/>
      <c r="F2" s="153"/>
      <c r="G2" s="153"/>
      <c r="H2" s="153"/>
      <c r="I2" s="153"/>
      <c r="J2" s="154"/>
    </row>
    <row r="3" spans="1:10" s="4" customFormat="1" x14ac:dyDescent="0.25">
      <c r="A3" s="152" t="s">
        <v>7</v>
      </c>
      <c r="B3" s="153"/>
      <c r="C3" s="153"/>
      <c r="D3" s="153"/>
      <c r="E3" s="153"/>
      <c r="F3" s="153"/>
      <c r="G3" s="153"/>
      <c r="H3" s="153"/>
      <c r="I3" s="153"/>
      <c r="J3" s="154"/>
    </row>
    <row r="4" spans="1:10" s="4" customFormat="1" x14ac:dyDescent="0.25">
      <c r="A4" s="152" t="s">
        <v>68</v>
      </c>
      <c r="B4" s="153"/>
      <c r="C4" s="153"/>
      <c r="D4" s="153"/>
      <c r="E4" s="153"/>
      <c r="F4" s="153"/>
      <c r="G4" s="153"/>
      <c r="H4" s="153"/>
      <c r="I4" s="153"/>
      <c r="J4" s="154"/>
    </row>
    <row r="5" spans="1:10" s="4" customFormat="1" x14ac:dyDescent="0.2">
      <c r="A5" s="7" t="s">
        <v>8</v>
      </c>
      <c r="B5" s="155" t="s">
        <v>59</v>
      </c>
      <c r="C5" s="156"/>
      <c r="D5" s="156"/>
      <c r="E5" s="156"/>
      <c r="F5" s="156"/>
      <c r="G5" s="156"/>
      <c r="H5" s="156"/>
      <c r="I5" s="156"/>
      <c r="J5" s="157"/>
    </row>
    <row r="6" spans="1:10" s="4" customFormat="1" x14ac:dyDescent="0.2">
      <c r="A6" s="7" t="s">
        <v>9</v>
      </c>
      <c r="B6" s="134" t="str">
        <f>B5</f>
        <v>Octreotide Acetate for Injectable suspension</v>
      </c>
      <c r="C6" s="134"/>
      <c r="D6" s="134"/>
      <c r="E6" s="134"/>
      <c r="F6" s="134"/>
      <c r="G6" s="134"/>
      <c r="H6" s="134"/>
      <c r="I6" s="134"/>
      <c r="J6" s="135"/>
    </row>
    <row r="7" spans="1:10" s="4" customFormat="1" x14ac:dyDescent="0.2">
      <c r="A7" s="7" t="s">
        <v>10</v>
      </c>
      <c r="B7" s="136" t="s">
        <v>82</v>
      </c>
      <c r="C7" s="137"/>
      <c r="D7" s="137"/>
      <c r="E7" s="137"/>
      <c r="F7" s="137"/>
      <c r="G7" s="137"/>
      <c r="H7" s="137"/>
      <c r="I7" s="137"/>
      <c r="J7" s="138"/>
    </row>
    <row r="8" spans="1:10" s="4" customFormat="1" x14ac:dyDescent="0.2">
      <c r="A8" s="7" t="s">
        <v>11</v>
      </c>
      <c r="B8" s="134" t="s">
        <v>83</v>
      </c>
      <c r="C8" s="134"/>
      <c r="D8" s="134"/>
      <c r="E8" s="134"/>
      <c r="F8" s="134"/>
      <c r="G8" s="134"/>
      <c r="H8" s="134"/>
      <c r="I8" s="134"/>
      <c r="J8" s="135"/>
    </row>
    <row r="9" spans="1:10" s="4" customFormat="1" x14ac:dyDescent="0.2">
      <c r="A9" s="7" t="s">
        <v>12</v>
      </c>
      <c r="B9" s="136" t="s">
        <v>84</v>
      </c>
      <c r="C9" s="137"/>
      <c r="D9" s="137"/>
      <c r="E9" s="137"/>
      <c r="F9" s="137"/>
      <c r="G9" s="137"/>
      <c r="H9" s="137"/>
      <c r="I9" s="137"/>
      <c r="J9" s="138"/>
    </row>
    <row r="10" spans="1:10" s="4" customFormat="1" x14ac:dyDescent="0.2">
      <c r="A10" s="7" t="s">
        <v>49</v>
      </c>
      <c r="B10" s="136" t="s">
        <v>79</v>
      </c>
      <c r="C10" s="137"/>
      <c r="D10" s="137"/>
      <c r="E10" s="137"/>
      <c r="F10" s="137"/>
      <c r="G10" s="137"/>
      <c r="H10" s="137"/>
      <c r="I10" s="137"/>
      <c r="J10" s="80"/>
    </row>
    <row r="11" spans="1:10" s="8" customFormat="1" ht="15" customHeight="1" x14ac:dyDescent="0.2">
      <c r="A11" s="7" t="s">
        <v>13</v>
      </c>
      <c r="B11" s="134" t="s">
        <v>78</v>
      </c>
      <c r="C11" s="134"/>
      <c r="D11" s="134"/>
      <c r="E11" s="134"/>
      <c r="F11" s="134"/>
      <c r="G11" s="134"/>
      <c r="H11" s="134"/>
      <c r="I11" s="134"/>
      <c r="J11" s="135"/>
    </row>
    <row r="12" spans="1:10" s="8" customFormat="1" ht="16.5" customHeight="1" x14ac:dyDescent="0.2">
      <c r="A12" s="9" t="s">
        <v>14</v>
      </c>
      <c r="B12" s="139" t="s">
        <v>70</v>
      </c>
      <c r="C12" s="139"/>
      <c r="D12" s="139"/>
      <c r="E12" s="139"/>
      <c r="F12" s="139"/>
      <c r="G12" s="139"/>
      <c r="H12" s="139"/>
      <c r="I12" s="139"/>
      <c r="J12" s="140"/>
    </row>
    <row r="13" spans="1:10" s="4" customFormat="1" x14ac:dyDescent="0.2">
      <c r="A13" s="7" t="s">
        <v>15</v>
      </c>
      <c r="B13" s="134" t="s">
        <v>80</v>
      </c>
      <c r="C13" s="134"/>
      <c r="D13" s="134"/>
      <c r="E13" s="134"/>
      <c r="F13" s="134"/>
      <c r="G13" s="134"/>
      <c r="H13" s="134"/>
      <c r="I13" s="134"/>
      <c r="J13" s="135"/>
    </row>
    <row r="14" spans="1:10" s="4" customFormat="1" x14ac:dyDescent="0.2">
      <c r="A14" s="7" t="s">
        <v>16</v>
      </c>
      <c r="B14" s="141" t="s">
        <v>81</v>
      </c>
      <c r="C14" s="142"/>
      <c r="D14" s="142"/>
      <c r="E14" s="142"/>
      <c r="F14" s="142"/>
      <c r="G14" s="142"/>
      <c r="H14" s="142"/>
      <c r="I14" s="142"/>
      <c r="J14" s="143"/>
    </row>
    <row r="15" spans="1:10" s="4" customFormat="1" x14ac:dyDescent="0.2">
      <c r="A15" s="7" t="s">
        <v>17</v>
      </c>
      <c r="B15" s="144">
        <v>45705</v>
      </c>
      <c r="C15" s="134"/>
      <c r="D15" s="134"/>
      <c r="E15" s="134"/>
      <c r="F15" s="134"/>
      <c r="G15" s="134"/>
      <c r="H15" s="134"/>
      <c r="I15" s="134"/>
      <c r="J15" s="135"/>
    </row>
    <row r="16" spans="1:10" x14ac:dyDescent="0.25">
      <c r="A16" s="10"/>
      <c r="B16" s="5"/>
      <c r="C16" s="5"/>
      <c r="D16" s="5"/>
      <c r="E16" s="5"/>
      <c r="F16" s="5"/>
      <c r="G16" s="5"/>
      <c r="H16" s="5"/>
      <c r="I16" s="5"/>
      <c r="J16" s="11"/>
    </row>
    <row r="17" spans="1:18" x14ac:dyDescent="0.25">
      <c r="A17" s="145" t="s">
        <v>18</v>
      </c>
      <c r="B17" s="146"/>
      <c r="C17" s="146"/>
      <c r="D17" s="146"/>
      <c r="E17" s="146"/>
      <c r="F17" s="146"/>
      <c r="G17" s="146"/>
      <c r="H17" s="146"/>
      <c r="I17" s="146"/>
      <c r="J17" s="147"/>
    </row>
    <row r="18" spans="1:18" ht="35.25" customHeight="1" x14ac:dyDescent="0.25">
      <c r="A18" s="67" t="s">
        <v>19</v>
      </c>
      <c r="B18" s="68" t="s">
        <v>20</v>
      </c>
      <c r="C18" s="68" t="s">
        <v>21</v>
      </c>
      <c r="D18" s="68" t="s">
        <v>22</v>
      </c>
      <c r="E18" s="148" t="s">
        <v>77</v>
      </c>
      <c r="F18" s="149"/>
      <c r="G18" s="41" t="s">
        <v>23</v>
      </c>
      <c r="H18" s="41" t="s">
        <v>24</v>
      </c>
      <c r="I18" s="41" t="s">
        <v>25</v>
      </c>
      <c r="J18" s="69" t="s">
        <v>26</v>
      </c>
    </row>
    <row r="19" spans="1:18" ht="33" customHeight="1" x14ac:dyDescent="0.25">
      <c r="A19" s="66" t="s">
        <v>60</v>
      </c>
      <c r="B19" s="57">
        <v>89.41</v>
      </c>
      <c r="C19" s="58">
        <v>1</v>
      </c>
      <c r="D19" s="58">
        <v>1</v>
      </c>
      <c r="E19" s="150">
        <v>25.65</v>
      </c>
      <c r="F19" s="151"/>
      <c r="G19" s="56">
        <v>25</v>
      </c>
      <c r="H19" s="56">
        <v>5</v>
      </c>
      <c r="I19" s="56">
        <v>50</v>
      </c>
      <c r="J19" s="27">
        <f>E19/G19*H19/I19*C19/D19*B19/100*1000</f>
        <v>91.734659999999991</v>
      </c>
    </row>
    <row r="20" spans="1:18" x14ac:dyDescent="0.25">
      <c r="A20" s="12"/>
      <c r="B20" s="13"/>
      <c r="C20" s="14"/>
      <c r="D20" s="14"/>
      <c r="E20" s="14"/>
      <c r="F20" s="15"/>
      <c r="G20" s="15"/>
      <c r="H20" s="15"/>
      <c r="I20" s="15"/>
      <c r="J20" s="34"/>
      <c r="K20" s="23"/>
    </row>
    <row r="21" spans="1:18" ht="35.25" customHeight="1" x14ac:dyDescent="0.25">
      <c r="A21" s="64" t="s">
        <v>27</v>
      </c>
      <c r="B21" s="79" t="s">
        <v>28</v>
      </c>
      <c r="C21" s="65" t="s">
        <v>27</v>
      </c>
      <c r="D21" s="79" t="s">
        <v>28</v>
      </c>
      <c r="E21" s="79" t="s">
        <v>41</v>
      </c>
      <c r="F21" s="79" t="s">
        <v>74</v>
      </c>
      <c r="G21" s="79" t="s">
        <v>75</v>
      </c>
      <c r="H21" s="79" t="s">
        <v>76</v>
      </c>
      <c r="I21" s="132" t="s">
        <v>40</v>
      </c>
      <c r="J21" s="133"/>
      <c r="K21" s="23"/>
    </row>
    <row r="22" spans="1:18" ht="18" customHeight="1" x14ac:dyDescent="0.25">
      <c r="A22" s="16">
        <v>1</v>
      </c>
      <c r="B22" s="56">
        <v>3025190</v>
      </c>
      <c r="C22" s="17" t="s">
        <v>29</v>
      </c>
      <c r="D22" s="56">
        <v>3037074</v>
      </c>
      <c r="E22" s="17" t="s">
        <v>42</v>
      </c>
      <c r="F22" s="63">
        <v>23.59</v>
      </c>
      <c r="G22" s="63">
        <v>25.13</v>
      </c>
      <c r="H22" s="63">
        <v>25.34</v>
      </c>
      <c r="I22" s="70" t="s">
        <v>50</v>
      </c>
      <c r="J22" s="53">
        <v>10</v>
      </c>
      <c r="K22" s="23"/>
    </row>
    <row r="23" spans="1:18" x14ac:dyDescent="0.25">
      <c r="A23" s="16">
        <v>2</v>
      </c>
      <c r="B23" s="56">
        <v>3032957</v>
      </c>
      <c r="C23" s="17" t="s">
        <v>30</v>
      </c>
      <c r="D23" s="56">
        <v>3035247</v>
      </c>
      <c r="E23" s="17" t="s">
        <v>43</v>
      </c>
      <c r="F23" s="63">
        <v>23.9</v>
      </c>
      <c r="G23" s="63">
        <v>24.84</v>
      </c>
      <c r="H23" s="63">
        <v>23.61</v>
      </c>
      <c r="I23" s="77" t="s">
        <v>48</v>
      </c>
      <c r="J23" s="54" t="s">
        <v>58</v>
      </c>
      <c r="K23" s="23"/>
    </row>
    <row r="24" spans="1:18" x14ac:dyDescent="0.25">
      <c r="A24" s="16">
        <v>3</v>
      </c>
      <c r="B24" s="56">
        <v>3039697</v>
      </c>
      <c r="C24" s="17" t="s">
        <v>31</v>
      </c>
      <c r="D24" s="56"/>
      <c r="E24" s="17" t="s">
        <v>44</v>
      </c>
      <c r="F24" s="63"/>
      <c r="G24" s="63"/>
      <c r="H24" s="63"/>
      <c r="I24" s="77" t="s">
        <v>51</v>
      </c>
      <c r="J24" s="55">
        <v>50</v>
      </c>
      <c r="K24" s="23"/>
    </row>
    <row r="25" spans="1:18" x14ac:dyDescent="0.25">
      <c r="A25" s="16">
        <v>4</v>
      </c>
      <c r="B25" s="56">
        <v>3038818</v>
      </c>
      <c r="C25" s="17" t="s">
        <v>32</v>
      </c>
      <c r="D25" s="56"/>
      <c r="E25" s="17" t="s">
        <v>45</v>
      </c>
      <c r="F25" s="63"/>
      <c r="G25" s="63"/>
      <c r="H25" s="63"/>
      <c r="I25" s="77" t="s">
        <v>53</v>
      </c>
      <c r="J25" s="54" t="s">
        <v>67</v>
      </c>
      <c r="K25" s="23"/>
    </row>
    <row r="26" spans="1:18" x14ac:dyDescent="0.25">
      <c r="A26" s="16">
        <v>5</v>
      </c>
      <c r="B26" s="56">
        <v>3038602</v>
      </c>
      <c r="C26" s="17" t="s">
        <v>33</v>
      </c>
      <c r="D26" s="56"/>
      <c r="E26" s="17" t="s">
        <v>46</v>
      </c>
      <c r="F26" s="63"/>
      <c r="G26" s="63"/>
      <c r="H26" s="63"/>
      <c r="I26" s="121" t="s">
        <v>39</v>
      </c>
      <c r="J26" s="122"/>
      <c r="K26" s="23"/>
    </row>
    <row r="27" spans="1:18" ht="15" customHeight="1" x14ac:dyDescent="0.25">
      <c r="A27" s="18" t="s">
        <v>0</v>
      </c>
      <c r="B27" s="17">
        <f>AVERAGE(B22:B26)</f>
        <v>3035052.8</v>
      </c>
      <c r="C27" s="17" t="s">
        <v>0</v>
      </c>
      <c r="D27" s="17">
        <f>AVERAGE(B22:B26,D22:D26)</f>
        <v>3035369.2857142859</v>
      </c>
      <c r="E27" s="17" t="s">
        <v>47</v>
      </c>
      <c r="F27" s="63"/>
      <c r="G27" s="63"/>
      <c r="H27" s="63"/>
      <c r="I27" s="123" t="s">
        <v>66</v>
      </c>
      <c r="J27" s="124"/>
      <c r="K27" s="23"/>
    </row>
    <row r="28" spans="1:18" x14ac:dyDescent="0.25">
      <c r="A28" s="18" t="s">
        <v>34</v>
      </c>
      <c r="B28" s="19">
        <f>STDEV(B22:B26)</f>
        <v>6123.9151447419654</v>
      </c>
      <c r="C28" s="20" t="s">
        <v>34</v>
      </c>
      <c r="D28" s="19">
        <f>STDEV(B22:B26,D22:D26)</f>
        <v>5056.8627861644845</v>
      </c>
      <c r="E28" s="17" t="s">
        <v>0</v>
      </c>
      <c r="F28" s="19">
        <f>AVERAGE(F22:F27)</f>
        <v>23.744999999999997</v>
      </c>
      <c r="G28" s="19">
        <f>AVERAGE(G22:G27)</f>
        <v>24.984999999999999</v>
      </c>
      <c r="H28" s="19">
        <f>AVERAGE(H22:H27)</f>
        <v>24.475000000000001</v>
      </c>
      <c r="I28" s="125"/>
      <c r="J28" s="126"/>
      <c r="K28" s="23"/>
    </row>
    <row r="29" spans="1:18" ht="16.149999999999999" customHeight="1" x14ac:dyDescent="0.25">
      <c r="A29" s="18" t="s">
        <v>1</v>
      </c>
      <c r="B29" s="21">
        <f>B28*100/B27</f>
        <v>0.20177293603399474</v>
      </c>
      <c r="C29" s="20" t="s">
        <v>1</v>
      </c>
      <c r="D29" s="21">
        <f>D28*100/D27</f>
        <v>0.16659794279279921</v>
      </c>
      <c r="E29" s="20" t="s">
        <v>34</v>
      </c>
      <c r="F29" s="19">
        <f>STDEV(F22:F28)</f>
        <v>0.15499999999999936</v>
      </c>
      <c r="G29" s="19">
        <f>STDEV(G22:G28)</f>
        <v>0.14499999999999957</v>
      </c>
      <c r="H29" s="19">
        <f>STDEV(H22:H28)</f>
        <v>0.86500000000000021</v>
      </c>
      <c r="I29" s="125"/>
      <c r="J29" s="126"/>
      <c r="K29" s="23"/>
    </row>
    <row r="30" spans="1:18" x14ac:dyDescent="0.25">
      <c r="A30" s="10"/>
      <c r="B30" s="37"/>
      <c r="C30" s="38"/>
      <c r="D30" s="5"/>
      <c r="E30" s="20" t="s">
        <v>1</v>
      </c>
      <c r="F30" s="21">
        <f>F29*100/F28</f>
        <v>0.6527690040008397</v>
      </c>
      <c r="G30" s="21">
        <f>G29*100/G28</f>
        <v>0.58034820892535355</v>
      </c>
      <c r="H30" s="21">
        <f>H29*100/H28</f>
        <v>3.5342185903983667</v>
      </c>
      <c r="I30" s="125"/>
      <c r="J30" s="126"/>
      <c r="K30" s="23"/>
      <c r="L30" s="39"/>
      <c r="M30" s="37"/>
      <c r="N30" s="37"/>
      <c r="O30" s="37"/>
      <c r="P30" s="37"/>
      <c r="Q30" s="37"/>
      <c r="R30" s="37"/>
    </row>
    <row r="31" spans="1:18" ht="16.149999999999999" customHeight="1" x14ac:dyDescent="0.25">
      <c r="A31" s="129" t="s">
        <v>69</v>
      </c>
      <c r="B31" s="129"/>
      <c r="C31" s="129"/>
      <c r="D31" s="23"/>
      <c r="E31" s="23"/>
      <c r="F31" s="23"/>
      <c r="G31" s="23"/>
      <c r="H31" s="23"/>
      <c r="I31" s="125"/>
      <c r="J31" s="126"/>
      <c r="K31" s="23"/>
    </row>
    <row r="32" spans="1:18" ht="16.149999999999999" customHeight="1" x14ac:dyDescent="0.25">
      <c r="A32" s="130">
        <v>4.12</v>
      </c>
      <c r="B32" s="130"/>
      <c r="C32" s="130"/>
      <c r="D32" s="23"/>
      <c r="E32" s="23"/>
      <c r="F32" s="23"/>
      <c r="G32" s="23"/>
      <c r="H32" s="23"/>
      <c r="I32" s="125"/>
      <c r="J32" s="126"/>
      <c r="K32" s="23"/>
    </row>
    <row r="33" spans="1:18" ht="16.149999999999999" customHeight="1" x14ac:dyDescent="0.25">
      <c r="A33" s="24"/>
      <c r="B33" s="25"/>
      <c r="C33" s="5"/>
      <c r="D33" s="23"/>
      <c r="E33" s="23"/>
      <c r="F33" s="23"/>
      <c r="G33" s="23"/>
      <c r="H33" s="23"/>
      <c r="I33" s="125"/>
      <c r="J33" s="126"/>
      <c r="K33" s="23"/>
    </row>
    <row r="34" spans="1:18" ht="16.149999999999999" customHeight="1" x14ac:dyDescent="0.25">
      <c r="A34" s="40" t="s">
        <v>52</v>
      </c>
      <c r="B34" s="41" t="s">
        <v>54</v>
      </c>
      <c r="C34" s="41" t="s">
        <v>55</v>
      </c>
      <c r="D34" s="5"/>
      <c r="E34" s="5"/>
      <c r="F34" s="26"/>
      <c r="G34" s="26"/>
      <c r="H34" s="26"/>
      <c r="I34" s="125"/>
      <c r="J34" s="126"/>
      <c r="K34" s="23"/>
    </row>
    <row r="35" spans="1:18" ht="16.149999999999999" customHeight="1" x14ac:dyDescent="0.25">
      <c r="A35" s="36">
        <v>10</v>
      </c>
      <c r="B35" s="62">
        <v>1</v>
      </c>
      <c r="C35" s="62">
        <v>1</v>
      </c>
      <c r="D35" s="5"/>
      <c r="E35" s="5"/>
      <c r="F35" s="26"/>
      <c r="G35" s="26"/>
      <c r="H35" s="26"/>
      <c r="I35" s="125"/>
      <c r="J35" s="126"/>
      <c r="K35" s="23"/>
    </row>
    <row r="36" spans="1:18" ht="30" x14ac:dyDescent="0.25">
      <c r="A36" s="22" t="s">
        <v>56</v>
      </c>
      <c r="B36" s="37"/>
      <c r="C36" s="38"/>
      <c r="D36" s="5"/>
      <c r="E36" s="5"/>
      <c r="F36" s="5"/>
      <c r="G36" s="5"/>
      <c r="H36" s="5"/>
      <c r="I36" s="127"/>
      <c r="J36" s="128"/>
      <c r="K36" s="5"/>
      <c r="L36" s="39"/>
      <c r="M36" s="37"/>
      <c r="N36" s="37"/>
      <c r="O36" s="37"/>
      <c r="P36" s="37"/>
      <c r="Q36" s="37"/>
      <c r="R36" s="37"/>
    </row>
    <row r="37" spans="1:18" x14ac:dyDescent="0.25">
      <c r="A37" s="56">
        <v>1</v>
      </c>
      <c r="B37" s="37"/>
      <c r="C37" s="38"/>
      <c r="D37" s="5"/>
      <c r="E37" s="5"/>
      <c r="F37" s="5"/>
      <c r="G37" s="5"/>
      <c r="H37" s="5"/>
      <c r="I37" s="5"/>
      <c r="J37" s="5"/>
      <c r="K37" s="5"/>
      <c r="L37" s="39"/>
      <c r="M37" s="37"/>
      <c r="N37" s="37"/>
      <c r="O37" s="37"/>
      <c r="P37" s="37"/>
      <c r="Q37" s="37"/>
      <c r="R37" s="37"/>
    </row>
    <row r="38" spans="1:18" x14ac:dyDescent="0.25">
      <c r="A38" s="10"/>
      <c r="B38" s="37"/>
      <c r="C38" s="38"/>
      <c r="D38" s="5"/>
      <c r="E38" s="5"/>
      <c r="F38" s="5"/>
      <c r="G38" s="5"/>
      <c r="H38" s="5"/>
      <c r="I38" s="5"/>
      <c r="J38" s="5"/>
      <c r="K38" s="131" t="s">
        <v>38</v>
      </c>
      <c r="L38" s="131"/>
      <c r="M38" s="37"/>
      <c r="N38" s="37"/>
      <c r="O38" s="37"/>
      <c r="P38" s="37"/>
      <c r="Q38" s="37"/>
      <c r="R38" s="37"/>
    </row>
    <row r="39" spans="1:18" ht="55.5" customHeight="1" x14ac:dyDescent="0.25">
      <c r="A39" s="40" t="s">
        <v>57</v>
      </c>
      <c r="B39" s="41" t="s">
        <v>35</v>
      </c>
      <c r="C39" s="41" t="s">
        <v>71</v>
      </c>
      <c r="D39" s="41" t="s">
        <v>0</v>
      </c>
      <c r="E39" s="41" t="s">
        <v>3</v>
      </c>
      <c r="F39" s="41" t="s">
        <v>4</v>
      </c>
      <c r="G39" s="42" t="s">
        <v>5</v>
      </c>
      <c r="H39" s="71"/>
      <c r="I39" s="5"/>
      <c r="J39" s="11"/>
      <c r="K39" s="43" t="s">
        <v>2</v>
      </c>
      <c r="L39" s="44"/>
      <c r="M39" s="5"/>
      <c r="P39" s="37"/>
      <c r="Q39" s="37"/>
      <c r="R39" s="37"/>
    </row>
    <row r="40" spans="1:18" ht="15" customHeight="1" x14ac:dyDescent="0.25">
      <c r="A40" s="85" t="s">
        <v>61</v>
      </c>
      <c r="B40" s="52" t="s">
        <v>85</v>
      </c>
      <c r="C40" s="61">
        <f>K40</f>
        <v>4.0386628322462599</v>
      </c>
      <c r="D40" s="88">
        <f>AVERAGE(C40:C45)</f>
        <v>4.0874983775509364</v>
      </c>
      <c r="E40" s="91">
        <f>MIN(C40:C45)</f>
        <v>4.0386628322462599</v>
      </c>
      <c r="F40" s="91">
        <f>MAX(C40:C45)</f>
        <v>4.136333922855612</v>
      </c>
      <c r="G40" s="91">
        <f>STDEV(C40:C45)*100/D40</f>
        <v>1.6896371353947515</v>
      </c>
      <c r="H40" s="72"/>
      <c r="I40" s="5"/>
      <c r="J40" s="5"/>
      <c r="K40" s="45">
        <f>IF(B40="","",B40/$B$27*$E$19/$G$19*$H$19/$I$19*$C$35/$B$35*$A$35/$F22*$B$19*$C$19/$D$19)</f>
        <v>4.0386628322462599</v>
      </c>
      <c r="L40" s="45">
        <f t="shared" ref="L40:L87" si="0">IF(K40="","",K40*$A$37/$A$35)</f>
        <v>0.40386628322462598</v>
      </c>
      <c r="M40" s="59"/>
      <c r="P40" s="37"/>
      <c r="Q40" s="37"/>
      <c r="R40" s="37"/>
    </row>
    <row r="41" spans="1:18" ht="15" customHeight="1" x14ac:dyDescent="0.25">
      <c r="A41" s="86"/>
      <c r="B41" s="52" t="s">
        <v>86</v>
      </c>
      <c r="C41" s="61">
        <f t="shared" ref="C41:C45" si="1">K41</f>
        <v>4.136333922855612</v>
      </c>
      <c r="D41" s="89"/>
      <c r="E41" s="92"/>
      <c r="F41" s="92"/>
      <c r="G41" s="92"/>
      <c r="H41" s="72"/>
      <c r="I41" s="5"/>
      <c r="J41" s="5"/>
      <c r="K41" s="45">
        <f t="shared" ref="K41:K45" si="2">IF(B41="","",B41/$B$27*$E$19/$G$19*$H$19/$I$19*$C$35/$B$35*$A$35/$F23*$B$19*$C$19/$D$19)</f>
        <v>4.136333922855612</v>
      </c>
      <c r="L41" s="45">
        <f t="shared" si="0"/>
        <v>0.41363339228556117</v>
      </c>
      <c r="M41" s="59"/>
      <c r="P41" s="37"/>
      <c r="Q41" s="37"/>
      <c r="R41" s="37"/>
    </row>
    <row r="42" spans="1:18" ht="15" customHeight="1" x14ac:dyDescent="0.25">
      <c r="A42" s="86"/>
      <c r="B42" s="52"/>
      <c r="C42" s="61" t="str">
        <f t="shared" si="1"/>
        <v/>
      </c>
      <c r="D42" s="89"/>
      <c r="E42" s="92"/>
      <c r="F42" s="92"/>
      <c r="G42" s="92"/>
      <c r="H42" s="72"/>
      <c r="I42" s="5"/>
      <c r="J42" s="5"/>
      <c r="K42" s="45" t="str">
        <f t="shared" si="2"/>
        <v/>
      </c>
      <c r="L42" s="45" t="str">
        <f t="shared" si="0"/>
        <v/>
      </c>
      <c r="M42" s="59"/>
      <c r="P42" s="37"/>
      <c r="Q42" s="37"/>
      <c r="R42" s="37"/>
    </row>
    <row r="43" spans="1:18" ht="15" customHeight="1" x14ac:dyDescent="0.25">
      <c r="A43" s="86"/>
      <c r="B43" s="52"/>
      <c r="C43" s="61" t="str">
        <f t="shared" si="1"/>
        <v/>
      </c>
      <c r="D43" s="89"/>
      <c r="E43" s="92"/>
      <c r="F43" s="92"/>
      <c r="G43" s="92"/>
      <c r="H43" s="72"/>
      <c r="I43" s="5"/>
      <c r="J43" s="5"/>
      <c r="K43" s="45" t="str">
        <f t="shared" si="2"/>
        <v/>
      </c>
      <c r="L43" s="45" t="str">
        <f t="shared" si="0"/>
        <v/>
      </c>
      <c r="M43" s="59"/>
      <c r="P43" s="37"/>
      <c r="Q43" s="37"/>
      <c r="R43" s="37"/>
    </row>
    <row r="44" spans="1:18" ht="15" customHeight="1" x14ac:dyDescent="0.25">
      <c r="A44" s="86"/>
      <c r="B44" s="52"/>
      <c r="C44" s="61" t="str">
        <f t="shared" si="1"/>
        <v/>
      </c>
      <c r="D44" s="89"/>
      <c r="E44" s="92"/>
      <c r="F44" s="92"/>
      <c r="G44" s="92"/>
      <c r="H44" s="72"/>
      <c r="I44" s="5"/>
      <c r="J44" s="5"/>
      <c r="K44" s="45" t="str">
        <f t="shared" si="2"/>
        <v/>
      </c>
      <c r="L44" s="45" t="str">
        <f t="shared" si="0"/>
        <v/>
      </c>
      <c r="M44" s="59"/>
      <c r="P44" s="37"/>
      <c r="Q44" s="37"/>
      <c r="R44" s="37"/>
    </row>
    <row r="45" spans="1:18" ht="15" customHeight="1" x14ac:dyDescent="0.25">
      <c r="A45" s="87"/>
      <c r="B45" s="52"/>
      <c r="C45" s="61" t="str">
        <f t="shared" si="1"/>
        <v/>
      </c>
      <c r="D45" s="90"/>
      <c r="E45" s="93"/>
      <c r="F45" s="93"/>
      <c r="G45" s="93"/>
      <c r="H45" s="72"/>
      <c r="I45" s="5"/>
      <c r="J45" s="5"/>
      <c r="K45" s="45" t="str">
        <f t="shared" si="2"/>
        <v/>
      </c>
      <c r="L45" s="45" t="str">
        <f t="shared" si="0"/>
        <v/>
      </c>
      <c r="M45" s="59"/>
      <c r="P45" s="37"/>
      <c r="Q45" s="37"/>
      <c r="R45" s="37"/>
    </row>
    <row r="46" spans="1:18" ht="15" customHeight="1" x14ac:dyDescent="0.25">
      <c r="A46" s="85" t="s">
        <v>62</v>
      </c>
      <c r="B46" s="82">
        <v>2351327</v>
      </c>
      <c r="C46" s="61">
        <f>K46</f>
        <v>2.8280543211589846</v>
      </c>
      <c r="D46" s="88">
        <f>AVERAGE(C46:C51)</f>
        <v>2.8295742711996321</v>
      </c>
      <c r="E46" s="91">
        <f>MIN(C46:C51)</f>
        <v>2.8280543211589846</v>
      </c>
      <c r="F46" s="91">
        <f>MAX(C46:C51)</f>
        <v>2.8310942212402797</v>
      </c>
      <c r="G46" s="120">
        <f>STDEV(C46:C51)*100/D46</f>
        <v>7.596669165011731E-2</v>
      </c>
      <c r="H46" s="73"/>
      <c r="I46" s="5"/>
      <c r="J46" s="5"/>
      <c r="K46" s="45">
        <f t="shared" ref="K46:K51" si="3">IF(B46="","",B46/$B$27*$E$19/$G$19*$H$19/$I$19*$C$35/$B$35*$A$35/$G22*$B$19*$C$19/$D$19)</f>
        <v>2.8280543211589846</v>
      </c>
      <c r="L46" s="45">
        <f t="shared" si="0"/>
        <v>0.28280543211589848</v>
      </c>
      <c r="M46" s="60">
        <f>IF(L40="","",L40)</f>
        <v>0.40386628322462598</v>
      </c>
      <c r="O46" s="46"/>
      <c r="P46" s="37"/>
      <c r="Q46" s="37"/>
      <c r="R46" s="37"/>
    </row>
    <row r="47" spans="1:18" ht="15" customHeight="1" x14ac:dyDescent="0.25">
      <c r="A47" s="86"/>
      <c r="B47" s="82">
        <v>2326691</v>
      </c>
      <c r="C47" s="61">
        <f t="shared" ref="C47:C51" si="4">K47</f>
        <v>2.8310942212402797</v>
      </c>
      <c r="D47" s="89"/>
      <c r="E47" s="92"/>
      <c r="F47" s="92"/>
      <c r="G47" s="120"/>
      <c r="H47" s="73"/>
      <c r="I47" s="5"/>
      <c r="J47" s="5"/>
      <c r="K47" s="45">
        <f t="shared" si="3"/>
        <v>2.8310942212402797</v>
      </c>
      <c r="L47" s="45">
        <f t="shared" si="0"/>
        <v>0.28310942212402795</v>
      </c>
      <c r="M47" s="60">
        <f>IF(L41="","",L41)</f>
        <v>0.41363339228556117</v>
      </c>
    </row>
    <row r="48" spans="1:18" ht="15" customHeight="1" x14ac:dyDescent="0.25">
      <c r="A48" s="86"/>
      <c r="B48" s="52"/>
      <c r="C48" s="61" t="str">
        <f t="shared" si="4"/>
        <v/>
      </c>
      <c r="D48" s="89"/>
      <c r="E48" s="92"/>
      <c r="F48" s="92"/>
      <c r="G48" s="120"/>
      <c r="H48" s="73"/>
      <c r="I48" s="5"/>
      <c r="J48" s="5"/>
      <c r="K48" s="45" t="str">
        <f t="shared" si="3"/>
        <v/>
      </c>
      <c r="L48" s="45" t="str">
        <f t="shared" si="0"/>
        <v/>
      </c>
      <c r="M48" s="60" t="str">
        <f>IF(L42="","",L42)</f>
        <v/>
      </c>
    </row>
    <row r="49" spans="1:13" ht="15" customHeight="1" x14ac:dyDescent="0.25">
      <c r="A49" s="86"/>
      <c r="B49" s="52"/>
      <c r="C49" s="61" t="str">
        <f t="shared" si="4"/>
        <v/>
      </c>
      <c r="D49" s="89"/>
      <c r="E49" s="92"/>
      <c r="F49" s="92"/>
      <c r="G49" s="120"/>
      <c r="H49" s="73"/>
      <c r="I49" s="5"/>
      <c r="J49" s="5"/>
      <c r="K49" s="45" t="str">
        <f t="shared" si="3"/>
        <v/>
      </c>
      <c r="L49" s="45" t="str">
        <f t="shared" si="0"/>
        <v/>
      </c>
      <c r="M49" s="60" t="str">
        <f>IF(L43="","",L43)</f>
        <v/>
      </c>
    </row>
    <row r="50" spans="1:13" ht="15" customHeight="1" x14ac:dyDescent="0.25">
      <c r="A50" s="86"/>
      <c r="B50" s="52"/>
      <c r="C50" s="61" t="str">
        <f t="shared" si="4"/>
        <v/>
      </c>
      <c r="D50" s="89"/>
      <c r="E50" s="92"/>
      <c r="F50" s="92"/>
      <c r="G50" s="120"/>
      <c r="H50" s="73"/>
      <c r="I50" s="5"/>
      <c r="J50" s="5"/>
      <c r="K50" s="45" t="str">
        <f t="shared" si="3"/>
        <v/>
      </c>
      <c r="L50" s="45" t="str">
        <f t="shared" si="0"/>
        <v/>
      </c>
      <c r="M50" s="60" t="str">
        <f t="shared" ref="M50:M51" si="5">IF(L44="","",L44)</f>
        <v/>
      </c>
    </row>
    <row r="51" spans="1:13" ht="15" customHeight="1" x14ac:dyDescent="0.25">
      <c r="A51" s="87"/>
      <c r="B51" s="52"/>
      <c r="C51" s="61" t="str">
        <f t="shared" si="4"/>
        <v/>
      </c>
      <c r="D51" s="90"/>
      <c r="E51" s="93"/>
      <c r="F51" s="93"/>
      <c r="G51" s="120"/>
      <c r="H51" s="73"/>
      <c r="I51" s="5"/>
      <c r="J51" s="5"/>
      <c r="K51" s="45" t="str">
        <f t="shared" si="3"/>
        <v/>
      </c>
      <c r="L51" s="45" t="str">
        <f t="shared" si="0"/>
        <v/>
      </c>
      <c r="M51" s="60" t="str">
        <f t="shared" si="5"/>
        <v/>
      </c>
    </row>
    <row r="52" spans="1:13" ht="15" customHeight="1" x14ac:dyDescent="0.25">
      <c r="A52" s="85" t="s">
        <v>63</v>
      </c>
      <c r="B52" s="82">
        <v>1622756</v>
      </c>
      <c r="C52" s="61">
        <f>K52</f>
        <v>1.9355919975161624</v>
      </c>
      <c r="D52" s="88">
        <f>AVERAGE(C52:C57)</f>
        <v>1.8876063496116782</v>
      </c>
      <c r="E52" s="91">
        <f>MIN(C52:C57)</f>
        <v>1.8396207017071942</v>
      </c>
      <c r="F52" s="91">
        <f>MAX(C52:C57)</f>
        <v>1.9355919975161624</v>
      </c>
      <c r="G52" s="94">
        <f>STDEV(C52:C57)*100/D52</f>
        <v>3.5951327499900718</v>
      </c>
      <c r="H52" s="73"/>
      <c r="I52" s="5"/>
      <c r="J52" s="11"/>
      <c r="K52" s="45">
        <f t="shared" ref="K52:K57" si="6">IF(B52="","",B52/$B$27*$E$19/$G$19*$H$19/$I$19*$C$35/$B$35*$A$35/$H22*$B$19*$C$19/$D$19)</f>
        <v>1.9355919975161624</v>
      </c>
      <c r="L52" s="45">
        <f>IF(K52="","",K52*$A$37/$A$35)</f>
        <v>0.19355919975161623</v>
      </c>
      <c r="M52" s="60">
        <f>IF(L46="","",L46+M46)</f>
        <v>0.6866717153405244</v>
      </c>
    </row>
    <row r="53" spans="1:13" ht="15" customHeight="1" x14ac:dyDescent="0.25">
      <c r="A53" s="86"/>
      <c r="B53" s="82">
        <v>1437001</v>
      </c>
      <c r="C53" s="61">
        <f t="shared" ref="C53:C57" si="7">K53</f>
        <v>1.8396207017071942</v>
      </c>
      <c r="D53" s="89"/>
      <c r="E53" s="92"/>
      <c r="F53" s="92"/>
      <c r="G53" s="95"/>
      <c r="H53" s="73"/>
      <c r="I53" s="5"/>
      <c r="J53" s="11"/>
      <c r="K53" s="45">
        <f t="shared" si="6"/>
        <v>1.8396207017071942</v>
      </c>
      <c r="L53" s="45">
        <f>IF(K53="","",K53*$A$37/$A$35)</f>
        <v>0.18396207017071942</v>
      </c>
      <c r="M53" s="60">
        <f>IF(L47="","",L47+M47)</f>
        <v>0.69674281440958907</v>
      </c>
    </row>
    <row r="54" spans="1:13" ht="15" customHeight="1" x14ac:dyDescent="0.25">
      <c r="A54" s="86"/>
      <c r="B54" s="52"/>
      <c r="C54" s="61" t="str">
        <f t="shared" si="7"/>
        <v/>
      </c>
      <c r="D54" s="89"/>
      <c r="E54" s="92"/>
      <c r="F54" s="92"/>
      <c r="G54" s="95"/>
      <c r="H54" s="73"/>
      <c r="I54" s="5"/>
      <c r="J54" s="11"/>
      <c r="K54" s="45" t="str">
        <f t="shared" si="6"/>
        <v/>
      </c>
      <c r="L54" s="45" t="str">
        <f>IF(K54="","",K54*$A$37/$A$35)</f>
        <v/>
      </c>
      <c r="M54" s="60" t="str">
        <f>IF(L48="","",L48+M48)</f>
        <v/>
      </c>
    </row>
    <row r="55" spans="1:13" ht="15" customHeight="1" x14ac:dyDescent="0.25">
      <c r="A55" s="86"/>
      <c r="B55" s="52"/>
      <c r="C55" s="61" t="str">
        <f t="shared" si="7"/>
        <v/>
      </c>
      <c r="D55" s="89"/>
      <c r="E55" s="92"/>
      <c r="F55" s="92"/>
      <c r="G55" s="95"/>
      <c r="H55" s="73"/>
      <c r="I55" s="5"/>
      <c r="J55" s="11"/>
      <c r="K55" s="45" t="str">
        <f t="shared" si="6"/>
        <v/>
      </c>
      <c r="L55" s="45" t="str">
        <f t="shared" si="0"/>
        <v/>
      </c>
      <c r="M55" s="60" t="str">
        <f>IF(L49="","",L49+M49)</f>
        <v/>
      </c>
    </row>
    <row r="56" spans="1:13" ht="15" customHeight="1" x14ac:dyDescent="0.25">
      <c r="A56" s="86"/>
      <c r="B56" s="52"/>
      <c r="C56" s="61" t="str">
        <f t="shared" si="7"/>
        <v/>
      </c>
      <c r="D56" s="89"/>
      <c r="E56" s="92"/>
      <c r="F56" s="92"/>
      <c r="G56" s="95"/>
      <c r="H56" s="73"/>
      <c r="I56" s="5"/>
      <c r="J56" s="11"/>
      <c r="K56" s="45" t="str">
        <f t="shared" si="6"/>
        <v/>
      </c>
      <c r="L56" s="45" t="str">
        <f t="shared" si="0"/>
        <v/>
      </c>
      <c r="M56" s="60" t="str">
        <f t="shared" ref="M56:M87" si="8">IF(L50="","",L50+M50)</f>
        <v/>
      </c>
    </row>
    <row r="57" spans="1:13" ht="15" customHeight="1" x14ac:dyDescent="0.25">
      <c r="A57" s="87"/>
      <c r="B57" s="52"/>
      <c r="C57" s="61" t="str">
        <f t="shared" si="7"/>
        <v/>
      </c>
      <c r="D57" s="90"/>
      <c r="E57" s="93"/>
      <c r="F57" s="93"/>
      <c r="G57" s="96"/>
      <c r="H57" s="73"/>
      <c r="I57" s="5"/>
      <c r="J57" s="11"/>
      <c r="K57" s="45" t="str">
        <f t="shared" si="6"/>
        <v/>
      </c>
      <c r="L57" s="45" t="str">
        <f t="shared" si="0"/>
        <v/>
      </c>
      <c r="M57" s="60" t="str">
        <f t="shared" si="8"/>
        <v/>
      </c>
    </row>
    <row r="58" spans="1:13" ht="15" customHeight="1" x14ac:dyDescent="0.25">
      <c r="A58" s="99" t="s">
        <v>64</v>
      </c>
      <c r="B58" s="100"/>
      <c r="C58" s="100"/>
      <c r="D58" s="100"/>
      <c r="E58" s="100"/>
      <c r="F58" s="100"/>
      <c r="G58" s="101"/>
      <c r="H58" s="76"/>
      <c r="I58" s="5"/>
      <c r="J58" s="11"/>
      <c r="K58" s="45"/>
      <c r="L58" s="45"/>
      <c r="M58" s="60"/>
    </row>
    <row r="59" spans="1:13" ht="15" customHeight="1" x14ac:dyDescent="0.25">
      <c r="A59" s="102"/>
      <c r="B59" s="103"/>
      <c r="C59" s="103"/>
      <c r="D59" s="103"/>
      <c r="E59" s="103"/>
      <c r="F59" s="103"/>
      <c r="G59" s="104"/>
      <c r="H59" s="76"/>
      <c r="I59" s="5"/>
      <c r="J59" s="11"/>
      <c r="K59" s="45"/>
      <c r="L59" s="45"/>
      <c r="M59" s="60"/>
    </row>
    <row r="60" spans="1:13" ht="15" customHeight="1" x14ac:dyDescent="0.25">
      <c r="A60" s="102"/>
      <c r="B60" s="103"/>
      <c r="C60" s="103"/>
      <c r="D60" s="103"/>
      <c r="E60" s="103"/>
      <c r="F60" s="103"/>
      <c r="G60" s="104"/>
      <c r="H60" s="76"/>
      <c r="I60" s="5"/>
      <c r="J60" s="11"/>
      <c r="K60" s="45"/>
      <c r="L60" s="45"/>
      <c r="M60" s="60"/>
    </row>
    <row r="61" spans="1:13" ht="15" customHeight="1" x14ac:dyDescent="0.25">
      <c r="A61" s="102"/>
      <c r="B61" s="103"/>
      <c r="C61" s="103"/>
      <c r="D61" s="103"/>
      <c r="E61" s="103"/>
      <c r="F61" s="103"/>
      <c r="G61" s="104"/>
      <c r="H61" s="76"/>
      <c r="I61" s="5"/>
      <c r="J61" s="11"/>
      <c r="K61" s="45"/>
      <c r="L61" s="45"/>
      <c r="M61" s="60"/>
    </row>
    <row r="62" spans="1:13" ht="15" customHeight="1" x14ac:dyDescent="0.25">
      <c r="A62" s="102"/>
      <c r="B62" s="103"/>
      <c r="C62" s="103"/>
      <c r="D62" s="103"/>
      <c r="E62" s="103"/>
      <c r="F62" s="103"/>
      <c r="G62" s="104"/>
      <c r="H62" s="76"/>
      <c r="I62" s="5"/>
      <c r="J62" s="11"/>
      <c r="K62" s="45"/>
      <c r="L62" s="45"/>
      <c r="M62" s="60"/>
    </row>
    <row r="63" spans="1:13" ht="15" customHeight="1" x14ac:dyDescent="0.25">
      <c r="A63" s="105"/>
      <c r="B63" s="106"/>
      <c r="C63" s="106"/>
      <c r="D63" s="106"/>
      <c r="E63" s="106"/>
      <c r="F63" s="106"/>
      <c r="G63" s="107"/>
      <c r="H63" s="76"/>
      <c r="I63" s="5"/>
      <c r="J63" s="11"/>
      <c r="K63" s="45"/>
      <c r="L63" s="45"/>
      <c r="M63" s="60"/>
    </row>
    <row r="64" spans="1:13" ht="15" customHeight="1" x14ac:dyDescent="0.25">
      <c r="A64" s="85" t="s">
        <v>57</v>
      </c>
      <c r="B64" s="108" t="s">
        <v>73</v>
      </c>
      <c r="C64" s="111" t="s">
        <v>72</v>
      </c>
      <c r="D64" s="114" t="s">
        <v>0</v>
      </c>
      <c r="E64" s="114" t="s">
        <v>3</v>
      </c>
      <c r="F64" s="114" t="s">
        <v>4</v>
      </c>
      <c r="G64" s="117" t="s">
        <v>5</v>
      </c>
      <c r="H64" s="71"/>
      <c r="I64" s="5"/>
      <c r="J64" s="11"/>
      <c r="K64" s="45" t="e">
        <f>IF(B64="","",B64/$B$27*$E$19/$F$19*$G$19/$I$19*$C$35/$B$35*$A$35/$F$22*$B$19*$C$19/$D$19*100/$A$32)</f>
        <v>#VALUE!</v>
      </c>
      <c r="L64" s="45" t="e">
        <f>IF(K64="","",K64*$A$37/$A$35)</f>
        <v>#VALUE!</v>
      </c>
      <c r="M64" s="60">
        <f t="shared" ref="M64:M69" si="9">IF(L52="","",L52+M52)</f>
        <v>0.88023091509214058</v>
      </c>
    </row>
    <row r="65" spans="1:13" ht="15" customHeight="1" x14ac:dyDescent="0.25">
      <c r="A65" s="86"/>
      <c r="B65" s="109"/>
      <c r="C65" s="112"/>
      <c r="D65" s="115"/>
      <c r="E65" s="115"/>
      <c r="F65" s="115"/>
      <c r="G65" s="118"/>
      <c r="H65" s="71"/>
      <c r="I65" s="5"/>
      <c r="J65" s="11"/>
      <c r="K65" s="45" t="str">
        <f>IF(B65="","",B65/$B$27*$E$19/$F$19*$G$19/$I$19*$C$35/$B$35*$A$35/$F$23*$B$19*$C$19/$D$19*100/$A$32)</f>
        <v/>
      </c>
      <c r="L65" s="45" t="str">
        <f t="shared" si="0"/>
        <v/>
      </c>
      <c r="M65" s="60">
        <f t="shared" si="9"/>
        <v>0.88070488458030849</v>
      </c>
    </row>
    <row r="66" spans="1:13" ht="15" customHeight="1" x14ac:dyDescent="0.25">
      <c r="A66" s="86"/>
      <c r="B66" s="109"/>
      <c r="C66" s="112"/>
      <c r="D66" s="115"/>
      <c r="E66" s="115"/>
      <c r="F66" s="115"/>
      <c r="G66" s="118"/>
      <c r="H66" s="71"/>
      <c r="I66" s="5"/>
      <c r="J66" s="11"/>
      <c r="K66" s="45" t="str">
        <f>IF(B66="","",B66/$B$27*$E$19/$F$19*$G$19/$I$19*$C$35/$B$35*$A$35/$F$24*$B$19*$C$19/$D$19*100/$A$32)</f>
        <v/>
      </c>
      <c r="L66" s="45" t="str">
        <f t="shared" si="0"/>
        <v/>
      </c>
      <c r="M66" s="60" t="str">
        <f t="shared" si="9"/>
        <v/>
      </c>
    </row>
    <row r="67" spans="1:13" ht="15" customHeight="1" x14ac:dyDescent="0.25">
      <c r="A67" s="86"/>
      <c r="B67" s="109"/>
      <c r="C67" s="112"/>
      <c r="D67" s="115"/>
      <c r="E67" s="115"/>
      <c r="F67" s="115"/>
      <c r="G67" s="118"/>
      <c r="H67" s="71"/>
      <c r="I67" s="5"/>
      <c r="J67" s="11"/>
      <c r="K67" s="45" t="str">
        <f>IF(B67="","",B67/$B$27*$E$19/$F$19*$G$19/$I$19*$C$35/$B$35*$A$35/$F$25*$B$19*$C$19/$D$19*100/$A$32)</f>
        <v/>
      </c>
      <c r="L67" s="45" t="str">
        <f t="shared" si="0"/>
        <v/>
      </c>
      <c r="M67" s="60" t="str">
        <f t="shared" si="9"/>
        <v/>
      </c>
    </row>
    <row r="68" spans="1:13" ht="15" customHeight="1" x14ac:dyDescent="0.25">
      <c r="A68" s="86"/>
      <c r="B68" s="109"/>
      <c r="C68" s="112"/>
      <c r="D68" s="115"/>
      <c r="E68" s="115"/>
      <c r="F68" s="115"/>
      <c r="G68" s="118"/>
      <c r="H68" s="71"/>
      <c r="I68" s="5"/>
      <c r="J68" s="11"/>
      <c r="K68" s="45" t="str">
        <f>IF(B68="","",B68/$B$27*$E$19/$F$19*$G$19/$I$19*$C$35/$B$35*$A$35/$F$26*$B$19*$C$19/$D$19*100/$A$32)</f>
        <v/>
      </c>
      <c r="L68" s="45" t="str">
        <f t="shared" si="0"/>
        <v/>
      </c>
      <c r="M68" s="60" t="str">
        <f t="shared" si="9"/>
        <v/>
      </c>
    </row>
    <row r="69" spans="1:13" ht="15" customHeight="1" x14ac:dyDescent="0.25">
      <c r="A69" s="87"/>
      <c r="B69" s="110"/>
      <c r="C69" s="113"/>
      <c r="D69" s="116"/>
      <c r="E69" s="116"/>
      <c r="F69" s="116"/>
      <c r="G69" s="119"/>
      <c r="H69" s="71"/>
      <c r="I69" s="5"/>
      <c r="J69" s="11"/>
      <c r="K69" s="45" t="str">
        <f>IF(B69="","",B69/$B$27*$E$19/$F$19*$G$19/$I$19*$C$35/$B$35*$A$35/$F$27*$B$19*$C$19/$D$19*100/$A$32)</f>
        <v/>
      </c>
      <c r="L69" s="45" t="str">
        <f t="shared" si="0"/>
        <v/>
      </c>
      <c r="M69" s="60" t="str">
        <f t="shared" si="9"/>
        <v/>
      </c>
    </row>
    <row r="70" spans="1:13" ht="15" customHeight="1" x14ac:dyDescent="0.25">
      <c r="A70" s="85" t="s">
        <v>61</v>
      </c>
      <c r="B70" s="78">
        <v>4.04</v>
      </c>
      <c r="C70" s="61">
        <f>($A$32-B70)/($A$32)*100</f>
        <v>1.9417475728155356</v>
      </c>
      <c r="D70" s="88">
        <f>AVERAGE(C70:C75)</f>
        <v>0.72815533980583125</v>
      </c>
      <c r="E70" s="91">
        <f>MIN(C70:C75)</f>
        <v>-0.48543689320387312</v>
      </c>
      <c r="F70" s="91">
        <f>MAX(C70:C75)</f>
        <v>1.9417475728155356</v>
      </c>
      <c r="G70" s="94">
        <f>STDEV(C70:C75)*100/D70</f>
        <v>235.70226039551304</v>
      </c>
      <c r="H70" s="73"/>
      <c r="I70" s="5"/>
      <c r="J70" s="11"/>
      <c r="K70" s="45">
        <f>($A$32-B70)/($A$32)*100</f>
        <v>1.9417475728155356</v>
      </c>
      <c r="L70" s="45">
        <f t="shared" si="0"/>
        <v>0.19417475728155356</v>
      </c>
      <c r="M70" s="60" t="e">
        <f>IF(L64="","",L64+M64)</f>
        <v>#VALUE!</v>
      </c>
    </row>
    <row r="71" spans="1:13" ht="15" customHeight="1" x14ac:dyDescent="0.25">
      <c r="A71" s="86"/>
      <c r="B71" s="78">
        <v>4.1399999999999997</v>
      </c>
      <c r="C71" s="61">
        <f>($A$32-B71)/($A$32)*100</f>
        <v>-0.48543689320387312</v>
      </c>
      <c r="D71" s="89"/>
      <c r="E71" s="92"/>
      <c r="F71" s="92"/>
      <c r="G71" s="95"/>
      <c r="H71" s="73"/>
      <c r="I71" s="5"/>
      <c r="J71" s="11"/>
      <c r="K71" s="45">
        <f t="shared" ref="K71:K75" si="10">($A$32-B71)/($A$32)*100</f>
        <v>-0.48543689320387312</v>
      </c>
      <c r="L71" s="45">
        <f t="shared" si="0"/>
        <v>-4.8543689320387315E-2</v>
      </c>
      <c r="M71" s="60" t="str">
        <f>IF(L65="","",L65+M65)</f>
        <v/>
      </c>
    </row>
    <row r="72" spans="1:13" ht="15" customHeight="1" x14ac:dyDescent="0.25">
      <c r="A72" s="86"/>
      <c r="B72" s="78" t="s">
        <v>87</v>
      </c>
      <c r="C72" s="61"/>
      <c r="D72" s="89"/>
      <c r="E72" s="92"/>
      <c r="F72" s="92"/>
      <c r="G72" s="95"/>
      <c r="H72" s="73"/>
      <c r="I72" s="5"/>
      <c r="J72" s="11"/>
      <c r="K72" s="45" t="e">
        <f t="shared" si="10"/>
        <v>#VALUE!</v>
      </c>
      <c r="L72" s="45" t="e">
        <f t="shared" si="0"/>
        <v>#VALUE!</v>
      </c>
      <c r="M72" s="60" t="str">
        <f>IF(L66="","",L66+M66)</f>
        <v/>
      </c>
    </row>
    <row r="73" spans="1:13" ht="15" customHeight="1" x14ac:dyDescent="0.25">
      <c r="A73" s="86"/>
      <c r="B73" s="78" t="s">
        <v>87</v>
      </c>
      <c r="C73" s="61"/>
      <c r="D73" s="89"/>
      <c r="E73" s="92"/>
      <c r="F73" s="92"/>
      <c r="G73" s="95"/>
      <c r="H73" s="73"/>
      <c r="I73" s="5"/>
      <c r="J73" s="11"/>
      <c r="K73" s="45" t="e">
        <f t="shared" si="10"/>
        <v>#VALUE!</v>
      </c>
      <c r="L73" s="45" t="e">
        <f t="shared" si="0"/>
        <v>#VALUE!</v>
      </c>
      <c r="M73" s="60" t="str">
        <f>IF(L67="","",L67+M67)</f>
        <v/>
      </c>
    </row>
    <row r="74" spans="1:13" ht="15" customHeight="1" x14ac:dyDescent="0.25">
      <c r="A74" s="86"/>
      <c r="B74" s="78" t="s">
        <v>87</v>
      </c>
      <c r="C74" s="61"/>
      <c r="D74" s="89"/>
      <c r="E74" s="92"/>
      <c r="F74" s="92"/>
      <c r="G74" s="95"/>
      <c r="H74" s="73"/>
      <c r="I74" s="5"/>
      <c r="J74" s="11"/>
      <c r="K74" s="45" t="e">
        <f t="shared" si="10"/>
        <v>#VALUE!</v>
      </c>
      <c r="L74" s="45" t="e">
        <f t="shared" si="0"/>
        <v>#VALUE!</v>
      </c>
      <c r="M74" s="60" t="str">
        <f>IF(L68="","",L68+M68)</f>
        <v/>
      </c>
    </row>
    <row r="75" spans="1:13" ht="15" customHeight="1" x14ac:dyDescent="0.25">
      <c r="A75" s="87"/>
      <c r="B75" s="78" t="s">
        <v>87</v>
      </c>
      <c r="C75" s="61"/>
      <c r="D75" s="90"/>
      <c r="E75" s="93"/>
      <c r="F75" s="93"/>
      <c r="G75" s="96"/>
      <c r="H75" s="73"/>
      <c r="I75" s="5"/>
      <c r="J75" s="11"/>
      <c r="K75" s="45" t="e">
        <f t="shared" si="10"/>
        <v>#VALUE!</v>
      </c>
      <c r="L75" s="45" t="e">
        <f t="shared" si="0"/>
        <v>#VALUE!</v>
      </c>
      <c r="M75" s="60" t="str">
        <f t="shared" si="8"/>
        <v/>
      </c>
    </row>
    <row r="76" spans="1:13" ht="15" customHeight="1" x14ac:dyDescent="0.25">
      <c r="A76" s="85" t="s">
        <v>62</v>
      </c>
      <c r="B76" s="81">
        <v>2.83</v>
      </c>
      <c r="C76" s="61">
        <f>($A$32-B76)/($A$32)*100</f>
        <v>31.310679611650489</v>
      </c>
      <c r="D76" s="88">
        <f>AVERAGE(C76:C81)</f>
        <v>31.310679611650489</v>
      </c>
      <c r="E76" s="91">
        <f>MIN(C76:C81)</f>
        <v>31.310679611650489</v>
      </c>
      <c r="F76" s="91">
        <f>MAX(C76:C81)</f>
        <v>31.310679611650489</v>
      </c>
      <c r="G76" s="94">
        <f>STDEV(C76:C81)*100/D76</f>
        <v>0</v>
      </c>
      <c r="H76" s="73"/>
      <c r="I76" s="5"/>
      <c r="J76" s="11"/>
      <c r="K76" s="45">
        <f>($A$32-B76)/($A$32)*100</f>
        <v>31.310679611650489</v>
      </c>
      <c r="L76" s="45">
        <f t="shared" si="0"/>
        <v>3.1310679611650487</v>
      </c>
      <c r="M76" s="60" t="e">
        <f t="shared" si="8"/>
        <v>#VALUE!</v>
      </c>
    </row>
    <row r="77" spans="1:13" ht="15" customHeight="1" x14ac:dyDescent="0.25">
      <c r="A77" s="86"/>
      <c r="B77" s="81">
        <v>2.83</v>
      </c>
      <c r="C77" s="61">
        <f>($A$32-B77)/($A$32)*100</f>
        <v>31.310679611650489</v>
      </c>
      <c r="D77" s="89"/>
      <c r="E77" s="92"/>
      <c r="F77" s="92"/>
      <c r="G77" s="95"/>
      <c r="H77" s="73"/>
      <c r="I77" s="5"/>
      <c r="J77" s="11"/>
      <c r="K77" s="45">
        <f t="shared" ref="K77:K81" si="11">($A$32-B77)/($A$32)*100</f>
        <v>31.310679611650489</v>
      </c>
      <c r="L77" s="45">
        <f t="shared" si="0"/>
        <v>3.1310679611650487</v>
      </c>
      <c r="M77" s="60" t="e">
        <f t="shared" si="8"/>
        <v>#VALUE!</v>
      </c>
    </row>
    <row r="78" spans="1:13" ht="15" customHeight="1" x14ac:dyDescent="0.25">
      <c r="A78" s="86"/>
      <c r="B78" s="78"/>
      <c r="C78" s="61"/>
      <c r="D78" s="89"/>
      <c r="E78" s="92"/>
      <c r="F78" s="92"/>
      <c r="G78" s="95"/>
      <c r="H78" s="73"/>
      <c r="I78" s="5"/>
      <c r="J78" s="11"/>
      <c r="K78" s="45">
        <f t="shared" si="11"/>
        <v>100</v>
      </c>
      <c r="L78" s="45">
        <f t="shared" si="0"/>
        <v>10</v>
      </c>
      <c r="M78" s="60" t="e">
        <f t="shared" si="8"/>
        <v>#VALUE!</v>
      </c>
    </row>
    <row r="79" spans="1:13" ht="15" customHeight="1" x14ac:dyDescent="0.25">
      <c r="A79" s="86"/>
      <c r="B79" s="78"/>
      <c r="C79" s="61"/>
      <c r="D79" s="89"/>
      <c r="E79" s="92"/>
      <c r="F79" s="92"/>
      <c r="G79" s="95"/>
      <c r="H79" s="73"/>
      <c r="I79" s="5"/>
      <c r="J79" s="11"/>
      <c r="K79" s="45">
        <f t="shared" si="11"/>
        <v>100</v>
      </c>
      <c r="L79" s="45">
        <f t="shared" si="0"/>
        <v>10</v>
      </c>
      <c r="M79" s="60" t="e">
        <f t="shared" si="8"/>
        <v>#VALUE!</v>
      </c>
    </row>
    <row r="80" spans="1:13" ht="15" customHeight="1" x14ac:dyDescent="0.25">
      <c r="A80" s="86"/>
      <c r="B80" s="78"/>
      <c r="C80" s="61"/>
      <c r="D80" s="89"/>
      <c r="E80" s="92"/>
      <c r="F80" s="92"/>
      <c r="G80" s="95"/>
      <c r="H80" s="73"/>
      <c r="I80" s="5"/>
      <c r="J80" s="11"/>
      <c r="K80" s="45">
        <f t="shared" si="11"/>
        <v>100</v>
      </c>
      <c r="L80" s="45">
        <f t="shared" si="0"/>
        <v>10</v>
      </c>
      <c r="M80" s="60" t="e">
        <f t="shared" si="8"/>
        <v>#VALUE!</v>
      </c>
    </row>
    <row r="81" spans="1:13" ht="15" customHeight="1" x14ac:dyDescent="0.25">
      <c r="A81" s="87"/>
      <c r="B81" s="78"/>
      <c r="C81" s="61"/>
      <c r="D81" s="90"/>
      <c r="E81" s="93"/>
      <c r="F81" s="93"/>
      <c r="G81" s="96"/>
      <c r="H81" s="73"/>
      <c r="I81" s="5"/>
      <c r="J81" s="11"/>
      <c r="K81" s="45">
        <f t="shared" si="11"/>
        <v>100</v>
      </c>
      <c r="L81" s="45">
        <f t="shared" si="0"/>
        <v>10</v>
      </c>
      <c r="M81" s="60" t="e">
        <f t="shared" si="8"/>
        <v>#VALUE!</v>
      </c>
    </row>
    <row r="82" spans="1:13" ht="15" customHeight="1" x14ac:dyDescent="0.25">
      <c r="A82" s="85" t="s">
        <v>63</v>
      </c>
      <c r="B82" s="81">
        <v>1.94</v>
      </c>
      <c r="C82" s="61">
        <f>($A$32-B82)/($A$32)*100</f>
        <v>52.912621359223301</v>
      </c>
      <c r="D82" s="88">
        <f>AVERAGE(C82:C87)</f>
        <v>54.126213592233015</v>
      </c>
      <c r="E82" s="91">
        <f>MIN(C82:C87)</f>
        <v>52.912621359223301</v>
      </c>
      <c r="F82" s="91">
        <f>MAX(C82:C87)</f>
        <v>55.339805825242728</v>
      </c>
      <c r="G82" s="94">
        <f>STDEV(C82:C87)*100/D82</f>
        <v>3.1708824268455151</v>
      </c>
      <c r="H82" s="73"/>
      <c r="I82" s="5"/>
      <c r="J82" s="11"/>
      <c r="K82" s="45">
        <f>($A$32-B82)/($A$32)*100</f>
        <v>52.912621359223301</v>
      </c>
      <c r="L82" s="45">
        <f t="shared" si="0"/>
        <v>5.29126213592233</v>
      </c>
      <c r="M82" s="60" t="e">
        <f t="shared" si="8"/>
        <v>#VALUE!</v>
      </c>
    </row>
    <row r="83" spans="1:13" ht="15" customHeight="1" x14ac:dyDescent="0.25">
      <c r="A83" s="86"/>
      <c r="B83" s="81">
        <v>1.84</v>
      </c>
      <c r="C83" s="61">
        <f>($A$32-B83)/($A$32)*100</f>
        <v>55.339805825242728</v>
      </c>
      <c r="D83" s="89"/>
      <c r="E83" s="92"/>
      <c r="F83" s="92"/>
      <c r="G83" s="95"/>
      <c r="H83" s="73"/>
      <c r="I83" s="5"/>
      <c r="J83" s="11"/>
      <c r="K83" s="45">
        <f t="shared" ref="K83:K87" si="12">($A$32-B83)/($A$32)*100</f>
        <v>55.339805825242728</v>
      </c>
      <c r="L83" s="45">
        <f t="shared" si="0"/>
        <v>5.5339805825242729</v>
      </c>
      <c r="M83" s="60" t="e">
        <f t="shared" si="8"/>
        <v>#VALUE!</v>
      </c>
    </row>
    <row r="84" spans="1:13" ht="15" customHeight="1" x14ac:dyDescent="0.25">
      <c r="A84" s="86"/>
      <c r="B84" s="78"/>
      <c r="C84" s="61"/>
      <c r="D84" s="89"/>
      <c r="E84" s="92"/>
      <c r="F84" s="92"/>
      <c r="G84" s="95"/>
      <c r="H84" s="73"/>
      <c r="I84" s="5"/>
      <c r="J84" s="11"/>
      <c r="K84" s="45">
        <f t="shared" si="12"/>
        <v>100</v>
      </c>
      <c r="L84" s="45">
        <f t="shared" si="0"/>
        <v>10</v>
      </c>
      <c r="M84" s="60" t="e">
        <f t="shared" si="8"/>
        <v>#VALUE!</v>
      </c>
    </row>
    <row r="85" spans="1:13" ht="15" customHeight="1" x14ac:dyDescent="0.25">
      <c r="A85" s="86"/>
      <c r="B85" s="78"/>
      <c r="C85" s="61"/>
      <c r="D85" s="89"/>
      <c r="E85" s="92"/>
      <c r="F85" s="92"/>
      <c r="G85" s="95"/>
      <c r="H85" s="73"/>
      <c r="I85" s="5"/>
      <c r="J85" s="11"/>
      <c r="K85" s="45">
        <f>($A$32-B85)/($A$32)*100</f>
        <v>100</v>
      </c>
      <c r="L85" s="45">
        <f t="shared" si="0"/>
        <v>10</v>
      </c>
      <c r="M85" s="60" t="e">
        <f t="shared" si="8"/>
        <v>#VALUE!</v>
      </c>
    </row>
    <row r="86" spans="1:13" ht="15" customHeight="1" x14ac:dyDescent="0.25">
      <c r="A86" s="86"/>
      <c r="B86" s="78"/>
      <c r="C86" s="61"/>
      <c r="D86" s="89"/>
      <c r="E86" s="92"/>
      <c r="F86" s="92"/>
      <c r="G86" s="95"/>
      <c r="H86" s="73"/>
      <c r="I86" s="5"/>
      <c r="J86" s="11"/>
      <c r="K86" s="45">
        <f t="shared" si="12"/>
        <v>100</v>
      </c>
      <c r="L86" s="45">
        <f t="shared" si="0"/>
        <v>10</v>
      </c>
      <c r="M86" s="60" t="e">
        <f t="shared" si="8"/>
        <v>#VALUE!</v>
      </c>
    </row>
    <row r="87" spans="1:13" ht="15" customHeight="1" x14ac:dyDescent="0.25">
      <c r="A87" s="87"/>
      <c r="B87" s="78"/>
      <c r="C87" s="61"/>
      <c r="D87" s="90"/>
      <c r="E87" s="93"/>
      <c r="F87" s="93"/>
      <c r="G87" s="96"/>
      <c r="H87" s="73"/>
      <c r="I87" s="5"/>
      <c r="J87" s="11"/>
      <c r="K87" s="45">
        <f t="shared" si="12"/>
        <v>100</v>
      </c>
      <c r="L87" s="45">
        <f t="shared" si="0"/>
        <v>10</v>
      </c>
      <c r="M87" s="60" t="e">
        <f t="shared" si="8"/>
        <v>#VALUE!</v>
      </c>
    </row>
    <row r="88" spans="1:13" x14ac:dyDescent="0.25">
      <c r="A88" s="97"/>
      <c r="B88" s="98"/>
      <c r="C88" s="98"/>
      <c r="D88" s="98"/>
      <c r="E88" s="98"/>
      <c r="F88" s="98"/>
      <c r="G88" s="98"/>
      <c r="H88" s="74"/>
      <c r="I88" s="5"/>
      <c r="J88" s="11"/>
    </row>
    <row r="89" spans="1:13" s="4" customFormat="1" x14ac:dyDescent="0.25">
      <c r="A89" s="28" t="s">
        <v>65</v>
      </c>
      <c r="B89" s="29"/>
      <c r="C89" s="30"/>
      <c r="D89" s="35"/>
      <c r="E89" s="31" t="s">
        <v>36</v>
      </c>
      <c r="F89" s="83"/>
      <c r="G89" s="84"/>
      <c r="H89" s="75"/>
      <c r="I89" s="5"/>
      <c r="J89" s="11"/>
    </row>
    <row r="90" spans="1:13" s="4" customFormat="1" x14ac:dyDescent="0.25">
      <c r="A90" s="28" t="s">
        <v>37</v>
      </c>
      <c r="B90" s="32"/>
      <c r="C90" s="33"/>
      <c r="D90" s="35"/>
      <c r="E90" s="31" t="s">
        <v>37</v>
      </c>
      <c r="F90" s="83"/>
      <c r="G90" s="84"/>
      <c r="H90" s="75"/>
      <c r="I90" s="5"/>
      <c r="J90" s="11"/>
    </row>
    <row r="91" spans="1:13" ht="15.75" thickBot="1" x14ac:dyDescent="0.3">
      <c r="A91" s="47"/>
      <c r="B91" s="48"/>
      <c r="C91" s="49"/>
      <c r="D91" s="48"/>
      <c r="E91" s="48"/>
      <c r="F91" s="48"/>
      <c r="G91" s="48"/>
      <c r="H91" s="48"/>
      <c r="I91" s="48"/>
      <c r="J91" s="50"/>
    </row>
  </sheetData>
  <mergeCells count="64">
    <mergeCell ref="B7:J7"/>
    <mergeCell ref="A2:J2"/>
    <mergeCell ref="A3:J3"/>
    <mergeCell ref="A4:J4"/>
    <mergeCell ref="B5:J5"/>
    <mergeCell ref="B6:J6"/>
    <mergeCell ref="I21:J21"/>
    <mergeCell ref="B8:J8"/>
    <mergeCell ref="B9:J9"/>
    <mergeCell ref="B10:I10"/>
    <mergeCell ref="B11:J11"/>
    <mergeCell ref="B12:J12"/>
    <mergeCell ref="B13:J13"/>
    <mergeCell ref="B14:J14"/>
    <mergeCell ref="B15:J15"/>
    <mergeCell ref="A17:J17"/>
    <mergeCell ref="E18:F18"/>
    <mergeCell ref="E19:F19"/>
    <mergeCell ref="A40:A45"/>
    <mergeCell ref="D40:D45"/>
    <mergeCell ref="E40:E45"/>
    <mergeCell ref="F40:F45"/>
    <mergeCell ref="G40:G45"/>
    <mergeCell ref="I26:J26"/>
    <mergeCell ref="I27:J36"/>
    <mergeCell ref="A31:C31"/>
    <mergeCell ref="A32:C32"/>
    <mergeCell ref="K38:L38"/>
    <mergeCell ref="A52:A57"/>
    <mergeCell ref="D52:D57"/>
    <mergeCell ref="E52:E57"/>
    <mergeCell ref="F52:F57"/>
    <mergeCell ref="G52:G57"/>
    <mergeCell ref="A46:A51"/>
    <mergeCell ref="D46:D51"/>
    <mergeCell ref="E46:E51"/>
    <mergeCell ref="F46:F51"/>
    <mergeCell ref="G46:G51"/>
    <mergeCell ref="A58:G63"/>
    <mergeCell ref="A64:A69"/>
    <mergeCell ref="B64:B69"/>
    <mergeCell ref="C64:C69"/>
    <mergeCell ref="D64:D69"/>
    <mergeCell ref="E64:E69"/>
    <mergeCell ref="F64:F69"/>
    <mergeCell ref="G64:G69"/>
    <mergeCell ref="A76:A81"/>
    <mergeCell ref="D76:D81"/>
    <mergeCell ref="E76:E81"/>
    <mergeCell ref="F76:F81"/>
    <mergeCell ref="G76:G81"/>
    <mergeCell ref="A70:A75"/>
    <mergeCell ref="D70:D75"/>
    <mergeCell ref="E70:E75"/>
    <mergeCell ref="F70:F75"/>
    <mergeCell ref="G70:G75"/>
    <mergeCell ref="F89:G89"/>
    <mergeCell ref="F90:G90"/>
    <mergeCell ref="A82:A87"/>
    <mergeCell ref="D82:D87"/>
    <mergeCell ref="E82:E87"/>
    <mergeCell ref="F82:F87"/>
    <mergeCell ref="G82:G87"/>
    <mergeCell ref="A88:G88"/>
  </mergeCells>
  <pageMargins left="0.25" right="0.25" top="0.75" bottom="0.75" header="0.3" footer="0.3"/>
  <pageSetup paperSize="9" scale="48" orientation="portrait" r:id="rId1"/>
  <headerFooter>
    <oddFooter>&amp;L&amp;Z&amp;F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42_2-8°C_</vt:lpstr>
      <vt:lpstr>'42_2-8°C_'!Print_Area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2025-02-19T03:26:36Z</dcterms:modified>
</cp:coreProperties>
</file>