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B:\1) Analytical Planning\Calculation sheet_AD_NDDS\Routine analysis\"/>
    </mc:Choice>
  </mc:AlternateContent>
  <bookViews>
    <workbookView xWindow="0" yWindow="0" windowWidth="28800" windowHeight="12180"/>
  </bookViews>
  <sheets>
    <sheet name="1" sheetId="1" r:id="rId1"/>
  </sheets>
  <definedNames>
    <definedName name="_xlnm.Print_Area" localSheetId="0">'1'!$A$1:$W$142</definedName>
  </definedNames>
  <calcPr calcId="162913"/>
</workbook>
</file>

<file path=xl/calcChain.xml><?xml version="1.0" encoding="utf-8"?>
<calcChain xmlns="http://schemas.openxmlformats.org/spreadsheetml/2006/main">
  <c r="H96" i="1" l="1"/>
  <c r="B85" i="1" l="1"/>
  <c r="B84" i="1"/>
  <c r="B83" i="1"/>
  <c r="B82" i="1"/>
  <c r="A119" i="1" l="1"/>
  <c r="A120" i="1"/>
  <c r="K104" i="1"/>
  <c r="K105" i="1"/>
  <c r="B36" i="1"/>
  <c r="D52" i="1"/>
  <c r="D53" i="1"/>
  <c r="D51" i="1"/>
  <c r="D40" i="1"/>
  <c r="D41" i="1"/>
  <c r="D39" i="1"/>
  <c r="D27" i="1"/>
  <c r="D29" i="1"/>
  <c r="D28" i="1"/>
  <c r="A118" i="1"/>
  <c r="A117" i="1"/>
  <c r="A116" i="1"/>
  <c r="A115" i="1"/>
  <c r="A114" i="1"/>
  <c r="A113" i="1"/>
  <c r="A112" i="1"/>
  <c r="A111" i="1"/>
  <c r="A110" i="1"/>
  <c r="A109" i="1"/>
  <c r="A108" i="1"/>
  <c r="K103" i="1"/>
  <c r="K102" i="1"/>
  <c r="K101" i="1"/>
  <c r="K100" i="1"/>
  <c r="K99" i="1"/>
  <c r="K98" i="1"/>
  <c r="K97" i="1"/>
  <c r="K96" i="1"/>
  <c r="K95" i="1"/>
  <c r="K94" i="1"/>
  <c r="D90" i="1"/>
  <c r="C90" i="1"/>
  <c r="B90" i="1"/>
  <c r="F97" i="1" s="1"/>
  <c r="D89" i="1"/>
  <c r="C89" i="1"/>
  <c r="B89" i="1"/>
  <c r="D88" i="1"/>
  <c r="C88" i="1"/>
  <c r="B88" i="1"/>
  <c r="A81" i="1"/>
  <c r="G53" i="1"/>
  <c r="G52" i="1"/>
  <c r="G51" i="1"/>
  <c r="B48" i="1"/>
  <c r="F21" i="1"/>
  <c r="E21" i="1"/>
  <c r="D21" i="1"/>
  <c r="C21" i="1"/>
  <c r="B21" i="1"/>
  <c r="H18" i="1"/>
  <c r="G18" i="1"/>
  <c r="H17" i="1"/>
  <c r="G17" i="1"/>
  <c r="B112" i="1" l="1"/>
  <c r="C112" i="1" s="1"/>
  <c r="F104" i="1"/>
  <c r="B119" i="1" s="1"/>
  <c r="C119" i="1" s="1"/>
  <c r="F94" i="1"/>
  <c r="B109" i="1" s="1"/>
  <c r="C109" i="1" s="1"/>
  <c r="H105" i="1"/>
  <c r="E120" i="1" s="1"/>
  <c r="F120" i="1" s="1"/>
  <c r="H94" i="1"/>
  <c r="E109" i="1" s="1"/>
  <c r="F109" i="1" s="1"/>
  <c r="F95" i="1"/>
  <c r="B110" i="1" s="1"/>
  <c r="C110" i="1" s="1"/>
  <c r="L104" i="1"/>
  <c r="H119" i="1" s="1"/>
  <c r="I119" i="1" s="1"/>
  <c r="L105" i="1"/>
  <c r="H120" i="1" s="1"/>
  <c r="I120" i="1" s="1"/>
  <c r="H104" i="1"/>
  <c r="E119" i="1" s="1"/>
  <c r="F119" i="1" s="1"/>
  <c r="F105" i="1"/>
  <c r="B120" i="1" s="1"/>
  <c r="C120" i="1" s="1"/>
  <c r="B32" i="1"/>
  <c r="J73" i="1" s="1"/>
  <c r="L94" i="1"/>
  <c r="H109" i="1" s="1"/>
  <c r="I109" i="1" s="1"/>
  <c r="L98" i="1"/>
  <c r="H113" i="1" s="1"/>
  <c r="I113" i="1" s="1"/>
  <c r="L102" i="1"/>
  <c r="H117" i="1" s="1"/>
  <c r="I117" i="1" s="1"/>
  <c r="L95" i="1"/>
  <c r="H110" i="1" s="1"/>
  <c r="I110" i="1" s="1"/>
  <c r="L99" i="1"/>
  <c r="H114" i="1" s="1"/>
  <c r="I114" i="1" s="1"/>
  <c r="L103" i="1"/>
  <c r="H118" i="1" s="1"/>
  <c r="I118" i="1" s="1"/>
  <c r="L97" i="1"/>
  <c r="H112" i="1" s="1"/>
  <c r="I112" i="1" s="1"/>
  <c r="L101" i="1"/>
  <c r="H116" i="1" s="1"/>
  <c r="I116" i="1" s="1"/>
  <c r="L96" i="1"/>
  <c r="H111" i="1" s="1"/>
  <c r="I111" i="1" s="1"/>
  <c r="L100" i="1"/>
  <c r="H115" i="1" s="1"/>
  <c r="I115" i="1" s="1"/>
  <c r="I18" i="1"/>
  <c r="K72" i="1" s="1"/>
  <c r="I17" i="1"/>
  <c r="J72" i="1" s="1"/>
  <c r="G21" i="1"/>
  <c r="H97" i="1"/>
  <c r="E112" i="1" s="1"/>
  <c r="F112" i="1" s="1"/>
  <c r="H99" i="1"/>
  <c r="E114" i="1" s="1"/>
  <c r="F114" i="1" s="1"/>
  <c r="H102" i="1"/>
  <c r="E117" i="1" s="1"/>
  <c r="F117" i="1" s="1"/>
  <c r="H21" i="1"/>
  <c r="B56" i="1"/>
  <c r="L73" i="1" s="1"/>
  <c r="B111" i="1"/>
  <c r="C111" i="1" s="1"/>
  <c r="F98" i="1"/>
  <c r="B113" i="1" s="1"/>
  <c r="C113" i="1" s="1"/>
  <c r="F99" i="1"/>
  <c r="B114" i="1" s="1"/>
  <c r="C114" i="1" s="1"/>
  <c r="F100" i="1"/>
  <c r="B115" i="1" s="1"/>
  <c r="C115" i="1" s="1"/>
  <c r="F101" i="1"/>
  <c r="B116" i="1" s="1"/>
  <c r="C116" i="1" s="1"/>
  <c r="F102" i="1"/>
  <c r="B117" i="1" s="1"/>
  <c r="C117" i="1" s="1"/>
  <c r="F103" i="1"/>
  <c r="B118" i="1" s="1"/>
  <c r="C118" i="1" s="1"/>
  <c r="H95" i="1"/>
  <c r="E110" i="1" s="1"/>
  <c r="F110" i="1" s="1"/>
  <c r="E111" i="1"/>
  <c r="F111" i="1" s="1"/>
  <c r="H98" i="1"/>
  <c r="E113" i="1" s="1"/>
  <c r="F113" i="1" s="1"/>
  <c r="H100" i="1"/>
  <c r="E115" i="1" s="1"/>
  <c r="F115" i="1" s="1"/>
  <c r="H101" i="1"/>
  <c r="E116" i="1" s="1"/>
  <c r="F116" i="1" s="1"/>
  <c r="H103" i="1"/>
  <c r="E118" i="1" s="1"/>
  <c r="F118" i="1" s="1"/>
  <c r="G119" i="1" l="1"/>
  <c r="G113" i="1"/>
  <c r="J115" i="1"/>
  <c r="D109" i="1"/>
  <c r="J119" i="1"/>
  <c r="D115" i="1"/>
  <c r="D113" i="1"/>
  <c r="D111" i="1"/>
  <c r="D119" i="1"/>
  <c r="G117" i="1"/>
  <c r="J117" i="1"/>
  <c r="D117" i="1"/>
  <c r="G115" i="1"/>
  <c r="J113" i="1"/>
  <c r="G111" i="1"/>
  <c r="J111" i="1"/>
  <c r="J109" i="1"/>
  <c r="I21" i="1"/>
  <c r="L72" i="1" s="1"/>
  <c r="B44" i="1"/>
  <c r="K73" i="1" s="1"/>
  <c r="G109" i="1"/>
</calcChain>
</file>

<file path=xl/sharedStrings.xml><?xml version="1.0" encoding="utf-8"?>
<sst xmlns="http://schemas.openxmlformats.org/spreadsheetml/2006/main" count="166" uniqueCount="120">
  <si>
    <t>Name</t>
  </si>
  <si>
    <t>Lot. No.</t>
  </si>
  <si>
    <t>% Purity/ Assigned content (as is basis)</t>
  </si>
  <si>
    <t>Weight (mg)</t>
  </si>
  <si>
    <t xml:space="preserve">Dilution I (mL)                                                                                                                                                                                    </t>
  </si>
  <si>
    <t xml:space="preserve"> </t>
  </si>
  <si>
    <t>Cholesterol std</t>
  </si>
  <si>
    <t>Lipoid S PC-3 RS</t>
  </si>
  <si>
    <t>Component</t>
  </si>
  <si>
    <t>Injection-1</t>
  </si>
  <si>
    <t>Injection-2</t>
  </si>
  <si>
    <t>Injection-3</t>
  </si>
  <si>
    <t>Injection-4</t>
  </si>
  <si>
    <t>Injection-5</t>
  </si>
  <si>
    <t>Mean</t>
  </si>
  <si>
    <t>STDEV</t>
  </si>
  <si>
    <t>% RSD</t>
  </si>
  <si>
    <t>Cholesterol</t>
  </si>
  <si>
    <t>MPED2000-DSPE Na</t>
  </si>
  <si>
    <t>SPC-1</t>
  </si>
  <si>
    <t>---</t>
  </si>
  <si>
    <t>SPC-2</t>
  </si>
  <si>
    <t>HS PC-3 (SPC-1+2)</t>
  </si>
  <si>
    <t>Preparation and Area of Linearity levels (Cholesterol) :</t>
  </si>
  <si>
    <t>Linearity level</t>
  </si>
  <si>
    <t>Dilution (mL)</t>
  </si>
  <si>
    <t>Concentration of Cholesterol (mg/mL)</t>
  </si>
  <si>
    <t>Area of Cholesterol</t>
  </si>
  <si>
    <t>Linearity level-1 (80%)</t>
  </si>
  <si>
    <t>Linearity level-2 (100%)</t>
  </si>
  <si>
    <t>Linearity level-3 (120%)</t>
  </si>
  <si>
    <t>Linearity level-4 (0%)</t>
  </si>
  <si>
    <t>Correlation</t>
  </si>
  <si>
    <t>a</t>
  </si>
  <si>
    <t>b</t>
  </si>
  <si>
    <t>c</t>
  </si>
  <si>
    <t>Preparation and Area of Linearity levels (MPEG 2000-DSPE Na):</t>
  </si>
  <si>
    <t>Concentration of MPEG2000 DSPE Na (mg/mL)</t>
  </si>
  <si>
    <t>Area of MPEG2000 DSPE Na</t>
  </si>
  <si>
    <t>Preparation and Area of Linearity levels (SPC-3) :</t>
  </si>
  <si>
    <t>Concentration of SPC-3 (mg/mL)</t>
  </si>
  <si>
    <t>Area of SPC-1</t>
  </si>
  <si>
    <t>Area of SPC-2</t>
  </si>
  <si>
    <t>Total</t>
  </si>
  <si>
    <r>
      <rPr>
        <b/>
        <sz val="11"/>
        <rFont val="Arial"/>
        <family val="2"/>
      </rPr>
      <t>Remark</t>
    </r>
    <r>
      <rPr>
        <sz val="11"/>
        <rFont val="Arial"/>
        <family val="2"/>
      </rPr>
      <t>:</t>
    </r>
  </si>
  <si>
    <t>Analysed by:</t>
  </si>
  <si>
    <t>Checked by:</t>
  </si>
  <si>
    <t>Date:</t>
  </si>
  <si>
    <t>MPEG 2000 DSPE Sodium</t>
  </si>
  <si>
    <t>SPC-3</t>
  </si>
  <si>
    <t xml:space="preserve">Curve (a) </t>
  </si>
  <si>
    <t xml:space="preserve">Slope (b) </t>
  </si>
  <si>
    <t>Intercept C</t>
  </si>
  <si>
    <t>Sample Name / Stage</t>
  </si>
  <si>
    <t>Sample Preparation</t>
  </si>
  <si>
    <t>Wt/mL of test sample</t>
  </si>
  <si>
    <t>MPEG 2000 DSPE Na</t>
  </si>
  <si>
    <t>Wt of sample (g)</t>
  </si>
  <si>
    <t>Diluted to mL</t>
  </si>
  <si>
    <t>Area</t>
  </si>
  <si>
    <t>Area - Y intercept</t>
  </si>
  <si>
    <t>Area-y intercept</t>
  </si>
  <si>
    <t>Total area</t>
  </si>
  <si>
    <t>Total area-y-intercept</t>
  </si>
  <si>
    <t>Conc. in mg/mL</t>
  </si>
  <si>
    <t>in %</t>
  </si>
  <si>
    <t>Average (%)</t>
  </si>
  <si>
    <t>Calculation:</t>
  </si>
  <si>
    <t>Remark:</t>
  </si>
  <si>
    <t xml:space="preserve">Preparation of Linearity Standard Stock solution </t>
  </si>
  <si>
    <t>Label Claim (Finished Product)</t>
  </si>
  <si>
    <t>Area of Lipid Components in Replicate injections of Linearity Level-2(100%)</t>
  </si>
  <si>
    <t xml:space="preserve">Volume of Linearity Standard Stock solution (mL) </t>
  </si>
  <si>
    <t>Dilution Volume (mL)</t>
  </si>
  <si>
    <t xml:space="preserve">Preparation of Linearity Levels: </t>
  </si>
  <si>
    <t xml:space="preserve"> Linearity Levels</t>
  </si>
  <si>
    <t>Level-1 (80%)</t>
  </si>
  <si>
    <t>Level-2 (100%)</t>
  </si>
  <si>
    <t>Level-3 (120%)</t>
  </si>
  <si>
    <t>Vol. of Linearity standard stock solution (mL)</t>
  </si>
  <si>
    <t>System suitability criteria :</t>
  </si>
  <si>
    <t>Injection</t>
  </si>
  <si>
    <t>Criteria</t>
  </si>
  <si>
    <t>1. Blank solution</t>
  </si>
  <si>
    <t xml:space="preserve">2. Linearity level-2 (100%) 
(5 replicates)
</t>
  </si>
  <si>
    <t>3. Linearity Level (Linearity Level-1, 2 and 3)</t>
  </si>
  <si>
    <t>No interference peak from the Blank solution should be observed</t>
  </si>
  <si>
    <t>MPEG2000-DSPE Na</t>
  </si>
  <si>
    <t xml:space="preserve"> HSPC (SPC-3).</t>
  </si>
  <si>
    <t>% RSD of the peak area in five replicate injections of Linearity level-2 (100%) should be not more than 10.0 %.</t>
  </si>
  <si>
    <t>Correlation coefficient (R) for Linearity levels should be not less than 0.99.</t>
  </si>
  <si>
    <t>Result for Component</t>
  </si>
  <si>
    <t>Not observed</t>
  </si>
  <si>
    <t>From Polynomial curve</t>
  </si>
  <si>
    <t>% Individual Lipid in Test solution:</t>
  </si>
  <si>
    <t>PRODUCT Name. :-</t>
  </si>
  <si>
    <t>BATCH NO. :-</t>
  </si>
  <si>
    <t>Analyst Name. :-</t>
  </si>
  <si>
    <t>DATE. :-</t>
  </si>
  <si>
    <t>Emcure</t>
  </si>
  <si>
    <t>R &amp; D Ahmedabad, Analytical Development</t>
  </si>
  <si>
    <t>Aditi Thaker</t>
  </si>
  <si>
    <t>Doxorubicine Hydrocholride Liposome For Injection, 2mg/mL</t>
  </si>
  <si>
    <t>1012618-039394
(WS-013/25)</t>
  </si>
  <si>
    <t>525600-2250891-01
(WS/26/023)</t>
  </si>
  <si>
    <t>MPEG2000-DSPESODIUMSALT(LIPOID)
MPEG2000-DSPE Na</t>
  </si>
  <si>
    <t>588200222011401
(WS/26/007)</t>
  </si>
  <si>
    <t>ESD25E001_Initial_Set-1</t>
  </si>
  <si>
    <t>ESD25E001_Initial_Set-2</t>
  </si>
  <si>
    <t>Analyzed by:</t>
  </si>
  <si>
    <t>ESD25E001_Cool Thaw_Cycle-1_Set-1</t>
  </si>
  <si>
    <t>ESD25E001_Cool Thaw_Cycle-1_Set-2</t>
  </si>
  <si>
    <t>ESD25E001_Cool Thaw_Cycle-2_Set-1</t>
  </si>
  <si>
    <t>ESD25E001_Cool Thaw_Cycle-2_Set-2</t>
  </si>
  <si>
    <t>ESD25E001_Cool Thaw_Cycle-3_Set-1</t>
  </si>
  <si>
    <t>ESD25E001_Cool Thaw_Cycle-3_Set-2</t>
  </si>
  <si>
    <t>ESD25E001_Freez Thaw_Cycle-1_Set-1</t>
  </si>
  <si>
    <t>ESD25E001_Freez Thaw_Cycle-1_Set-2</t>
  </si>
  <si>
    <t>ESD25E001_Freez Thaw_Cycle-2_Set-1</t>
  </si>
  <si>
    <t>ESD25E001_Freez Thaw_Cycle-2_Set-2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</si>
</sst>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0.0"/>
    <numFmt numFmtId="165" formatCode="0.000"/>
    <numFmt numFmtId="166" formatCode="0.00000"/>
    <numFmt numFmtId="167" formatCode="0.0000"/>
    <numFmt numFmtId="168" formatCode="[$-409]d/mmm/yy;@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b/>
      <sz val="11"/>
      <color theme="1"/>
      <name val="Calibri"/>
      <family val="2"/>
      <scheme val="minor"/>
    </font>
    <font>
      <b/>
      <sz val="12"/>
      <name val="Arial"/>
      <family val="2"/>
    </font>
    <font>
      <b/>
      <sz val="16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5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5">
    <xf numFmtId="0" fontId="0" fillId="0" borderId="0"/>
    <xf numFmtId="0" fontId="1" fillId="0" borderId="0"/>
    <xf numFmtId="0" fontId="1" fillId="0" borderId="0">
      <protection locked="0" hidden="1"/>
    </xf>
    <xf numFmtId="0" fontId="1" fillId="0" borderId="0"/>
    <xf numFmtId="0" fontId="1" fillId="0" borderId="0"/>
  </cellStyleXfs>
  <cellXfs count="320">
    <xf numFmtId="0" fontId="0" fillId="0" borderId="0" xfId="0"/>
    <xf numFmtId="0" fontId="3" fillId="0" borderId="0" xfId="1" applyFont="1" applyAlignment="1" applyProtection="1">
      <alignment horizontal="center" vertical="center"/>
    </xf>
    <xf numFmtId="0" fontId="2" fillId="0" borderId="4" xfId="1" applyFont="1" applyFill="1" applyBorder="1" applyAlignment="1" applyProtection="1">
      <alignment horizontal="left" vertical="center"/>
    </xf>
    <xf numFmtId="0" fontId="3" fillId="0" borderId="0" xfId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 applyProtection="1">
      <alignment horizontal="center" vertical="center"/>
    </xf>
    <xf numFmtId="0" fontId="2" fillId="0" borderId="6" xfId="1" applyFont="1" applyFill="1" applyBorder="1" applyAlignment="1" applyProtection="1">
      <alignment horizontal="left" vertical="center"/>
    </xf>
    <xf numFmtId="0" fontId="2" fillId="0" borderId="7" xfId="1" applyFont="1" applyFill="1" applyBorder="1" applyAlignment="1" applyProtection="1">
      <alignment horizontal="center" vertical="center"/>
    </xf>
    <xf numFmtId="0" fontId="3" fillId="0" borderId="7" xfId="1" applyFont="1" applyFill="1" applyBorder="1" applyAlignment="1" applyProtection="1">
      <alignment horizontal="center" vertical="center"/>
    </xf>
    <xf numFmtId="0" fontId="3" fillId="0" borderId="7" xfId="1" applyFont="1" applyBorder="1" applyAlignment="1" applyProtection="1">
      <alignment horizontal="center" vertical="center"/>
    </xf>
    <xf numFmtId="0" fontId="3" fillId="0" borderId="8" xfId="1" applyFont="1" applyBorder="1" applyAlignment="1" applyProtection="1">
      <alignment horizontal="center" vertical="center"/>
    </xf>
    <xf numFmtId="0" fontId="3" fillId="0" borderId="0" xfId="1" applyFont="1" applyBorder="1" applyAlignment="1" applyProtection="1">
      <alignment horizontal="center" vertical="center"/>
    </xf>
    <xf numFmtId="0" fontId="3" fillId="0" borderId="5" xfId="1" applyFont="1" applyBorder="1" applyAlignment="1" applyProtection="1">
      <alignment horizontal="center" vertical="center"/>
    </xf>
    <xf numFmtId="0" fontId="2" fillId="0" borderId="0" xfId="1" applyFont="1" applyFill="1" applyBorder="1" applyAlignment="1" applyProtection="1">
      <alignment vertical="center"/>
    </xf>
    <xf numFmtId="0" fontId="3" fillId="0" borderId="0" xfId="1" applyFont="1" applyBorder="1" applyAlignment="1" applyProtection="1">
      <alignment vertical="center"/>
    </xf>
    <xf numFmtId="0" fontId="2" fillId="0" borderId="0" xfId="1" applyFont="1" applyBorder="1" applyAlignment="1">
      <alignment vertical="center"/>
    </xf>
    <xf numFmtId="0" fontId="2" fillId="0" borderId="0" xfId="1" applyFont="1" applyFill="1" applyBorder="1" applyAlignment="1" applyProtection="1">
      <alignment horizontal="center" vertical="center" wrapText="1"/>
    </xf>
    <xf numFmtId="0" fontId="3" fillId="0" borderId="10" xfId="1" applyFont="1" applyFill="1" applyBorder="1" applyAlignment="1" applyProtection="1">
      <alignment horizontal="center" vertical="center" wrapText="1"/>
      <protection locked="0"/>
    </xf>
    <xf numFmtId="165" fontId="2" fillId="3" borderId="10" xfId="2" applyNumberFormat="1" applyFont="1" applyFill="1" applyBorder="1" applyAlignment="1" applyProtection="1">
      <alignment horizontal="center" vertical="center" wrapText="1"/>
      <protection locked="0"/>
    </xf>
    <xf numFmtId="2" fontId="4" fillId="0" borderId="10" xfId="3" applyNumberFormat="1" applyFont="1" applyFill="1" applyBorder="1" applyAlignment="1">
      <alignment horizontal="center" vertical="center" wrapText="1"/>
    </xf>
    <xf numFmtId="0" fontId="3" fillId="0" borderId="0" xfId="1" applyFont="1" applyFill="1" applyBorder="1" applyAlignment="1" applyProtection="1">
      <alignment horizontal="center" vertical="center" wrapText="1"/>
    </xf>
    <xf numFmtId="0" fontId="3" fillId="2" borderId="4" xfId="1" applyFont="1" applyFill="1" applyBorder="1" applyAlignment="1" applyProtection="1">
      <alignment horizontal="center" vertical="center" wrapText="1"/>
      <protection locked="0"/>
    </xf>
    <xf numFmtId="0" fontId="3" fillId="2" borderId="0" xfId="1" applyFont="1" applyFill="1" applyBorder="1" applyAlignment="1" applyProtection="1">
      <alignment horizontal="center" vertical="center" wrapText="1"/>
      <protection locked="0"/>
    </xf>
    <xf numFmtId="164" fontId="3" fillId="0" borderId="0" xfId="1" applyNumberFormat="1" applyFont="1" applyFill="1" applyBorder="1" applyAlignment="1" applyProtection="1">
      <alignment horizontal="center" vertical="center" wrapText="1"/>
      <protection locked="0"/>
    </xf>
    <xf numFmtId="2" fontId="3" fillId="2" borderId="0" xfId="1" applyNumberFormat="1" applyFont="1" applyFill="1" applyBorder="1" applyAlignment="1" applyProtection="1">
      <alignment horizontal="center" vertical="center" wrapText="1"/>
      <protection locked="0"/>
    </xf>
    <xf numFmtId="0" fontId="2" fillId="0" borderId="9" xfId="1" applyFont="1" applyFill="1" applyBorder="1" applyAlignment="1" applyProtection="1">
      <alignment horizontal="center" vertical="center"/>
    </xf>
    <xf numFmtId="1" fontId="2" fillId="0" borderId="10" xfId="1" applyNumberFormat="1" applyFont="1" applyFill="1" applyBorder="1" applyAlignment="1" applyProtection="1">
      <alignment horizontal="center" vertical="center"/>
    </xf>
    <xf numFmtId="165" fontId="4" fillId="3" borderId="10" xfId="3" applyNumberFormat="1" applyFont="1" applyFill="1" applyBorder="1" applyAlignment="1">
      <alignment horizontal="center" vertical="center"/>
    </xf>
    <xf numFmtId="165" fontId="2" fillId="0" borderId="10" xfId="3" applyNumberFormat="1" applyFont="1" applyFill="1" applyBorder="1" applyAlignment="1" applyProtection="1">
      <alignment horizontal="center" vertical="center"/>
    </xf>
    <xf numFmtId="166" fontId="3" fillId="0" borderId="10" xfId="1" applyNumberFormat="1" applyFont="1" applyFill="1" applyBorder="1" applyAlignment="1" applyProtection="1">
      <alignment horizontal="center" vertical="center"/>
    </xf>
    <xf numFmtId="165" fontId="6" fillId="0" borderId="10" xfId="1" applyNumberFormat="1" applyFont="1" applyFill="1" applyBorder="1" applyAlignment="1" applyProtection="1">
      <alignment horizontal="center" vertical="center"/>
      <protection locked="0"/>
    </xf>
    <xf numFmtId="0" fontId="2" fillId="0" borderId="4" xfId="1" applyFont="1" applyFill="1" applyBorder="1" applyAlignment="1" applyProtection="1">
      <alignment horizontal="center" vertical="center"/>
    </xf>
    <xf numFmtId="165" fontId="3" fillId="0" borderId="0" xfId="1" applyNumberFormat="1" applyFont="1" applyBorder="1" applyAlignment="1" applyProtection="1">
      <alignment horizontal="center" vertical="center"/>
    </xf>
    <xf numFmtId="0" fontId="2" fillId="0" borderId="10" xfId="1" applyFont="1" applyFill="1" applyBorder="1" applyAlignment="1" applyProtection="1">
      <alignment horizontal="center" vertical="center" wrapText="1"/>
    </xf>
    <xf numFmtId="2" fontId="2" fillId="0" borderId="0" xfId="1" applyNumberFormat="1" applyFont="1" applyFill="1" applyBorder="1" applyAlignment="1" applyProtection="1">
      <alignment horizontal="center" vertical="center"/>
    </xf>
    <xf numFmtId="1" fontId="3" fillId="0" borderId="0" xfId="1" applyNumberFormat="1" applyFont="1" applyFill="1" applyBorder="1" applyAlignment="1" applyProtection="1">
      <alignment vertical="center"/>
      <protection locked="0"/>
    </xf>
    <xf numFmtId="0" fontId="2" fillId="0" borderId="0" xfId="1" applyFont="1" applyBorder="1" applyAlignment="1" applyProtection="1">
      <alignment horizontal="center" vertical="center"/>
    </xf>
    <xf numFmtId="0" fontId="2" fillId="0" borderId="0" xfId="1" applyFont="1" applyBorder="1" applyAlignment="1" applyProtection="1">
      <alignment horizontal="center" vertical="center"/>
    </xf>
    <xf numFmtId="0" fontId="2" fillId="0" borderId="0" xfId="1" applyFont="1" applyBorder="1" applyAlignment="1" applyProtection="1">
      <alignment vertical="center"/>
    </xf>
    <xf numFmtId="0" fontId="3" fillId="0" borderId="0" xfId="1" applyFont="1" applyBorder="1" applyAlignment="1">
      <alignment vertical="center"/>
    </xf>
    <xf numFmtId="0" fontId="2" fillId="0" borderId="0" xfId="1" applyFont="1" applyBorder="1" applyAlignment="1" applyProtection="1">
      <alignment vertical="center" wrapText="1"/>
    </xf>
    <xf numFmtId="0" fontId="3" fillId="0" borderId="9" xfId="1" applyFont="1" applyFill="1" applyBorder="1" applyAlignment="1" applyProtection="1">
      <alignment horizontal="center" vertical="center"/>
    </xf>
    <xf numFmtId="0" fontId="3" fillId="0" borderId="16" xfId="1" applyFont="1" applyBorder="1" applyAlignment="1" applyProtection="1">
      <alignment horizontal="center" vertical="center"/>
    </xf>
    <xf numFmtId="0" fontId="3" fillId="0" borderId="10" xfId="1" applyFont="1" applyFill="1" applyBorder="1" applyAlignment="1" applyProtection="1">
      <alignment horizontal="center" vertical="center"/>
      <protection locked="0"/>
    </xf>
    <xf numFmtId="165" fontId="3" fillId="3" borderId="10" xfId="2" applyNumberFormat="1" applyFont="1" applyFill="1" applyBorder="1" applyAlignment="1" applyProtection="1">
      <alignment horizontal="center" vertical="center"/>
    </xf>
    <xf numFmtId="165" fontId="3" fillId="0" borderId="0" xfId="1" applyNumberFormat="1" applyFont="1" applyFill="1" applyBorder="1" applyAlignment="1" applyProtection="1">
      <alignment horizontal="center" vertical="center"/>
    </xf>
    <xf numFmtId="165" fontId="7" fillId="0" borderId="0" xfId="1" applyNumberFormat="1" applyFont="1" applyFill="1" applyBorder="1" applyAlignment="1" applyProtection="1">
      <alignment horizontal="center" vertical="center"/>
      <protection locked="0"/>
    </xf>
    <xf numFmtId="164" fontId="3" fillId="0" borderId="16" xfId="1" applyNumberFormat="1" applyFont="1" applyBorder="1" applyAlignment="1" applyProtection="1">
      <alignment horizontal="center" vertical="center"/>
    </xf>
    <xf numFmtId="0" fontId="3" fillId="0" borderId="4" xfId="1" applyFont="1" applyFill="1" applyBorder="1" applyAlignment="1" applyProtection="1">
      <alignment horizontal="center" vertical="center"/>
    </xf>
    <xf numFmtId="0" fontId="3" fillId="0" borderId="0" xfId="1" applyFont="1" applyFill="1" applyBorder="1" applyAlignment="1" applyProtection="1">
      <alignment horizontal="center" vertical="center"/>
      <protection locked="0"/>
    </xf>
    <xf numFmtId="165" fontId="2" fillId="0" borderId="0" xfId="1" applyNumberFormat="1" applyFont="1" applyFill="1" applyBorder="1" applyAlignment="1" applyProtection="1">
      <alignment horizontal="center" vertical="center"/>
    </xf>
    <xf numFmtId="166" fontId="2" fillId="0" borderId="10" xfId="1" applyNumberFormat="1" applyFont="1" applyBorder="1" applyAlignment="1" applyProtection="1">
      <alignment horizontal="center" vertical="center"/>
    </xf>
    <xf numFmtId="0" fontId="2" fillId="0" borderId="0" xfId="1" quotePrefix="1" applyFont="1" applyBorder="1" applyAlignment="1" applyProtection="1">
      <alignment horizontal="center" vertical="center"/>
    </xf>
    <xf numFmtId="167" fontId="2" fillId="3" borderId="10" xfId="1" applyNumberFormat="1" applyFont="1" applyFill="1" applyBorder="1" applyAlignment="1" applyProtection="1">
      <alignment horizontal="center" vertical="center"/>
    </xf>
    <xf numFmtId="2" fontId="3" fillId="0" borderId="0" xfId="1" applyNumberFormat="1" applyFont="1" applyAlignment="1" applyProtection="1">
      <alignment horizontal="center" vertical="center"/>
    </xf>
    <xf numFmtId="0" fontId="2" fillId="0" borderId="0" xfId="1" applyFont="1" applyBorder="1" applyAlignment="1" applyProtection="1">
      <alignment horizontal="center" vertical="center" wrapText="1"/>
    </xf>
    <xf numFmtId="2" fontId="3" fillId="0" borderId="0" xfId="1" applyNumberFormat="1" applyFont="1" applyFill="1" applyBorder="1" applyAlignment="1" applyProtection="1">
      <alignment horizontal="center" vertical="center"/>
    </xf>
    <xf numFmtId="165" fontId="3" fillId="0" borderId="10" xfId="1" applyNumberFormat="1" applyFont="1" applyFill="1" applyBorder="1" applyAlignment="1" applyProtection="1">
      <alignment horizontal="center" vertical="center"/>
    </xf>
    <xf numFmtId="164" fontId="3" fillId="0" borderId="0" xfId="1" applyNumberFormat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 applyProtection="1">
      <alignment horizontal="center" vertical="center" wrapText="1"/>
      <protection locked="0"/>
    </xf>
    <xf numFmtId="0" fontId="2" fillId="0" borderId="18" xfId="1" applyFont="1" applyBorder="1" applyAlignment="1" applyProtection="1">
      <alignment horizontal="center" vertical="center" wrapText="1"/>
    </xf>
    <xf numFmtId="0" fontId="2" fillId="0" borderId="4" xfId="1" applyFont="1" applyFill="1" applyBorder="1" applyAlignment="1" applyProtection="1">
      <alignment vertical="center" wrapText="1"/>
      <protection locked="0"/>
    </xf>
    <xf numFmtId="0" fontId="2" fillId="0" borderId="0" xfId="1" applyFont="1" applyFill="1" applyBorder="1" applyAlignment="1" applyProtection="1">
      <alignment vertical="center" wrapText="1"/>
      <protection locked="0"/>
    </xf>
    <xf numFmtId="0" fontId="3" fillId="0" borderId="4" xfId="1" applyFont="1" applyFill="1" applyBorder="1" applyAlignment="1" applyProtection="1">
      <alignment horizontal="center" vertical="center"/>
      <protection locked="0"/>
    </xf>
    <xf numFmtId="0" fontId="3" fillId="0" borderId="0" xfId="1" applyFont="1" applyBorder="1" applyAlignment="1">
      <alignment horizontal="center" vertical="center"/>
    </xf>
    <xf numFmtId="1" fontId="2" fillId="0" borderId="4" xfId="3" applyNumberFormat="1" applyFont="1" applyFill="1" applyBorder="1" applyAlignment="1" applyProtection="1">
      <alignment vertical="center" wrapText="1"/>
      <protection locked="0"/>
    </xf>
    <xf numFmtId="1" fontId="2" fillId="0" borderId="0" xfId="3" applyNumberFormat="1" applyFont="1" applyFill="1" applyBorder="1" applyAlignment="1" applyProtection="1">
      <alignment vertical="center" wrapText="1"/>
      <protection locked="0"/>
    </xf>
    <xf numFmtId="166" fontId="2" fillId="0" borderId="0" xfId="3" applyNumberFormat="1" applyFont="1" applyFill="1" applyBorder="1" applyAlignment="1" applyProtection="1">
      <alignment vertical="center" wrapText="1"/>
      <protection locked="0"/>
    </xf>
    <xf numFmtId="165" fontId="3" fillId="0" borderId="4" xfId="3" applyNumberFormat="1" applyFont="1" applyFill="1" applyBorder="1" applyAlignment="1" applyProtection="1">
      <alignment horizontal="center" vertical="center"/>
      <protection locked="0"/>
    </xf>
    <xf numFmtId="165" fontId="3" fillId="0" borderId="0" xfId="3" applyNumberFormat="1" applyFont="1" applyFill="1" applyBorder="1" applyAlignment="1" applyProtection="1">
      <alignment horizontal="center" vertical="center"/>
      <protection locked="0"/>
    </xf>
    <xf numFmtId="2" fontId="2" fillId="0" borderId="0" xfId="3" applyNumberFormat="1" applyFont="1" applyFill="1" applyBorder="1" applyAlignment="1" applyProtection="1">
      <alignment horizontal="center" vertical="center"/>
      <protection locked="0"/>
    </xf>
    <xf numFmtId="164" fontId="2" fillId="0" borderId="0" xfId="1" applyNumberFormat="1" applyFont="1" applyFill="1" applyBorder="1" applyAlignment="1" applyProtection="1">
      <alignment horizontal="center" vertical="center"/>
    </xf>
    <xf numFmtId="0" fontId="2" fillId="0" borderId="4" xfId="1" applyFont="1" applyFill="1" applyBorder="1" applyAlignment="1" applyProtection="1">
      <alignment vertical="center"/>
      <protection locked="0"/>
    </xf>
    <xf numFmtId="0" fontId="2" fillId="0" borderId="25" xfId="1" applyFont="1" applyFill="1" applyBorder="1" applyAlignment="1" applyProtection="1">
      <alignment horizontal="left" vertical="center"/>
    </xf>
    <xf numFmtId="0" fontId="3" fillId="0" borderId="26" xfId="1" applyFont="1" applyBorder="1" applyAlignment="1" applyProtection="1">
      <alignment horizontal="center" vertical="center"/>
    </xf>
    <xf numFmtId="0" fontId="3" fillId="0" borderId="26" xfId="1" applyFont="1" applyFill="1" applyBorder="1" applyAlignment="1" applyProtection="1">
      <alignment horizontal="center" vertical="center"/>
    </xf>
    <xf numFmtId="0" fontId="3" fillId="0" borderId="27" xfId="1" applyFont="1" applyBorder="1" applyAlignment="1" applyProtection="1">
      <alignment horizontal="center" vertical="center"/>
    </xf>
    <xf numFmtId="0" fontId="3" fillId="0" borderId="28" xfId="1" applyFont="1" applyBorder="1" applyAlignment="1" applyProtection="1">
      <alignment horizontal="center" vertical="center"/>
    </xf>
    <xf numFmtId="0" fontId="2" fillId="0" borderId="29" xfId="1" applyFont="1" applyFill="1" applyBorder="1" applyAlignment="1" applyProtection="1">
      <alignment horizontal="left" vertical="center"/>
    </xf>
    <xf numFmtId="0" fontId="3" fillId="2" borderId="0" xfId="1" applyFont="1" applyFill="1" applyBorder="1" applyAlignment="1" applyProtection="1">
      <alignment horizontal="center" vertical="center"/>
    </xf>
    <xf numFmtId="0" fontId="3" fillId="0" borderId="30" xfId="1" applyFont="1" applyBorder="1" applyAlignment="1" applyProtection="1">
      <alignment horizontal="center" vertical="center"/>
    </xf>
    <xf numFmtId="0" fontId="2" fillId="0" borderId="31" xfId="1" applyFont="1" applyFill="1" applyBorder="1" applyAlignment="1" applyProtection="1">
      <alignment horizontal="left" vertical="center"/>
    </xf>
    <xf numFmtId="0" fontId="3" fillId="2" borderId="7" xfId="1" applyFont="1" applyFill="1" applyBorder="1" applyAlignment="1" applyProtection="1">
      <alignment horizontal="center" vertical="center"/>
    </xf>
    <xf numFmtId="0" fontId="2" fillId="2" borderId="0" xfId="1" applyFont="1" applyFill="1" applyBorder="1" applyAlignment="1" applyProtection="1">
      <alignment vertical="center"/>
    </xf>
    <xf numFmtId="0" fontId="3" fillId="0" borderId="4" xfId="1" applyFont="1" applyBorder="1" applyAlignment="1" applyProtection="1">
      <alignment horizontal="center" vertical="center"/>
    </xf>
    <xf numFmtId="0" fontId="2" fillId="0" borderId="9" xfId="1" applyFont="1" applyFill="1" applyBorder="1" applyAlignment="1" applyProtection="1">
      <alignment vertical="center"/>
    </xf>
    <xf numFmtId="0" fontId="2" fillId="0" borderId="9" xfId="1" applyFont="1" applyFill="1" applyBorder="1" applyAlignment="1" applyProtection="1">
      <alignment horizontal="left" vertical="center"/>
    </xf>
    <xf numFmtId="167" fontId="2" fillId="0" borderId="10" xfId="1" applyNumberFormat="1" applyFont="1" applyFill="1" applyBorder="1" applyAlignment="1" applyProtection="1">
      <alignment horizontal="center" vertical="center"/>
    </xf>
    <xf numFmtId="0" fontId="2" fillId="0" borderId="10" xfId="1" applyFont="1" applyFill="1" applyBorder="1" applyAlignment="1" applyProtection="1">
      <alignment horizontal="center" vertical="center"/>
    </xf>
    <xf numFmtId="165" fontId="2" fillId="0" borderId="10" xfId="1" applyNumberFormat="1" applyFont="1" applyFill="1" applyBorder="1" applyAlignment="1" applyProtection="1">
      <alignment horizontal="center" vertical="center"/>
    </xf>
    <xf numFmtId="0" fontId="2" fillId="0" borderId="10" xfId="1" applyFont="1" applyBorder="1" applyAlignment="1" applyProtection="1">
      <alignment horizontal="center" vertical="center" wrapText="1"/>
    </xf>
    <xf numFmtId="0" fontId="2" fillId="0" borderId="10" xfId="1" applyFont="1" applyBorder="1" applyAlignment="1" applyProtection="1">
      <alignment horizontal="center" vertical="center"/>
    </xf>
    <xf numFmtId="165" fontId="2" fillId="0" borderId="10" xfId="1" applyNumberFormat="1" applyFont="1" applyFill="1" applyBorder="1" applyAlignment="1" applyProtection="1">
      <alignment horizontal="center" vertical="center" wrapText="1"/>
    </xf>
    <xf numFmtId="0" fontId="2" fillId="0" borderId="32" xfId="1" applyFont="1" applyFill="1" applyBorder="1" applyAlignment="1" applyProtection="1">
      <alignment horizontal="center" vertical="center" wrapText="1"/>
    </xf>
    <xf numFmtId="0" fontId="2" fillId="4" borderId="9" xfId="1" applyFont="1" applyFill="1" applyBorder="1" applyAlignment="1" applyProtection="1">
      <alignment horizontal="center" vertical="center" wrapText="1"/>
      <protection locked="0"/>
    </xf>
    <xf numFmtId="167" fontId="3" fillId="3" borderId="10" xfId="2" applyNumberFormat="1" applyFont="1" applyFill="1" applyBorder="1" applyAlignment="1" applyProtection="1">
      <alignment horizontal="center" vertical="center"/>
    </xf>
    <xf numFmtId="0" fontId="3" fillId="0" borderId="10" xfId="1" applyFont="1" applyBorder="1" applyAlignment="1" applyProtection="1">
      <alignment horizontal="center" vertical="center"/>
    </xf>
    <xf numFmtId="165" fontId="3" fillId="3" borderId="10" xfId="1" applyNumberFormat="1" applyFont="1" applyFill="1" applyBorder="1" applyAlignment="1" applyProtection="1">
      <alignment horizontal="center" vertical="center"/>
    </xf>
    <xf numFmtId="167" fontId="3" fillId="0" borderId="10" xfId="1" applyNumberFormat="1" applyFont="1" applyBorder="1" applyAlignment="1" applyProtection="1">
      <alignment horizontal="center" vertical="center"/>
    </xf>
    <xf numFmtId="167" fontId="3" fillId="0" borderId="10" xfId="1" applyNumberFormat="1" applyFont="1" applyFill="1" applyBorder="1" applyAlignment="1" applyProtection="1">
      <alignment horizontal="center" vertical="center"/>
    </xf>
    <xf numFmtId="165" fontId="3" fillId="0" borderId="32" xfId="1" applyNumberFormat="1" applyFont="1" applyFill="1" applyBorder="1" applyAlignment="1" applyProtection="1">
      <alignment horizontal="center" vertical="center"/>
    </xf>
    <xf numFmtId="0" fontId="2" fillId="4" borderId="4" xfId="1" applyFont="1" applyFill="1" applyBorder="1" applyAlignment="1" applyProtection="1">
      <alignment horizontal="center" vertical="center" wrapText="1"/>
      <protection locked="0"/>
    </xf>
    <xf numFmtId="0" fontId="3" fillId="4" borderId="0" xfId="1" applyFont="1" applyFill="1" applyBorder="1" applyAlignment="1" applyProtection="1">
      <alignment horizontal="center" vertical="center" wrapText="1"/>
      <protection locked="0"/>
    </xf>
    <xf numFmtId="165" fontId="3" fillId="0" borderId="0" xfId="1" applyNumberFormat="1" applyFont="1" applyFill="1" applyBorder="1" applyAlignment="1" applyProtection="1">
      <alignment horizontal="center" vertical="center" wrapText="1"/>
      <protection locked="0"/>
    </xf>
    <xf numFmtId="2" fontId="3" fillId="0" borderId="0" xfId="1" applyNumberFormat="1" applyFont="1" applyBorder="1" applyAlignment="1" applyProtection="1">
      <alignment horizontal="center" vertical="center"/>
    </xf>
    <xf numFmtId="2" fontId="2" fillId="0" borderId="10" xfId="1" applyNumberFormat="1" applyFont="1" applyBorder="1" applyAlignment="1" applyProtection="1">
      <alignment horizontal="center" vertical="center"/>
    </xf>
    <xf numFmtId="2" fontId="2" fillId="0" borderId="10" xfId="1" applyNumberFormat="1" applyFont="1" applyBorder="1" applyAlignment="1" applyProtection="1">
      <alignment horizontal="center" vertical="center" wrapText="1"/>
    </xf>
    <xf numFmtId="165" fontId="3" fillId="0" borderId="10" xfId="1" applyNumberFormat="1" applyFont="1" applyFill="1" applyBorder="1" applyAlignment="1" applyProtection="1">
      <alignment horizontal="center" vertical="center" wrapText="1"/>
    </xf>
    <xf numFmtId="2" fontId="3" fillId="0" borderId="10" xfId="1" applyNumberFormat="1" applyFont="1" applyFill="1" applyBorder="1" applyAlignment="1" applyProtection="1">
      <alignment horizontal="center" vertical="center"/>
    </xf>
    <xf numFmtId="0" fontId="2" fillId="4" borderId="6" xfId="1" applyFont="1" applyFill="1" applyBorder="1" applyAlignment="1" applyProtection="1">
      <alignment horizontal="center" vertical="center" wrapText="1"/>
      <protection locked="0"/>
    </xf>
    <xf numFmtId="0" fontId="3" fillId="4" borderId="7" xfId="1" applyFont="1" applyFill="1" applyBorder="1" applyAlignment="1" applyProtection="1">
      <alignment horizontal="center" vertical="center" wrapText="1"/>
      <protection locked="0"/>
    </xf>
    <xf numFmtId="165" fontId="3" fillId="0" borderId="7" xfId="1" applyNumberFormat="1" applyFont="1" applyFill="1" applyBorder="1" applyAlignment="1" applyProtection="1">
      <alignment horizontal="center" vertical="center" wrapText="1"/>
      <protection locked="0"/>
    </xf>
    <xf numFmtId="165" fontId="3" fillId="0" borderId="7" xfId="1" applyNumberFormat="1" applyFont="1" applyFill="1" applyBorder="1" applyAlignment="1" applyProtection="1">
      <alignment horizontal="center" vertical="center" wrapText="1"/>
    </xf>
    <xf numFmtId="165" fontId="3" fillId="0" borderId="7" xfId="1" applyNumberFormat="1" applyFont="1" applyBorder="1" applyAlignment="1" applyProtection="1">
      <alignment horizontal="center" vertical="center"/>
    </xf>
    <xf numFmtId="0" fontId="2" fillId="2" borderId="7" xfId="1" applyFont="1" applyFill="1" applyBorder="1" applyAlignment="1" applyProtection="1">
      <alignment horizontal="center" vertical="center"/>
    </xf>
    <xf numFmtId="2" fontId="2" fillId="0" borderId="7" xfId="1" applyNumberFormat="1" applyFont="1" applyBorder="1" applyAlignment="1" applyProtection="1">
      <alignment horizontal="center" vertical="center"/>
    </xf>
    <xf numFmtId="2" fontId="2" fillId="0" borderId="8" xfId="1" applyNumberFormat="1" applyFont="1" applyBorder="1" applyAlignment="1" applyProtection="1">
      <alignment horizontal="center" vertical="center"/>
    </xf>
    <xf numFmtId="2" fontId="2" fillId="0" borderId="0" xfId="1" applyNumberFormat="1" applyFont="1" applyBorder="1" applyAlignment="1" applyProtection="1">
      <alignment horizontal="center" vertical="center"/>
    </xf>
    <xf numFmtId="165" fontId="2" fillId="0" borderId="0" xfId="1" applyNumberFormat="1" applyFont="1" applyBorder="1" applyAlignment="1" applyProtection="1">
      <alignment horizontal="center" vertical="center"/>
    </xf>
    <xf numFmtId="0" fontId="2" fillId="0" borderId="0" xfId="1" applyFont="1" applyAlignment="1" applyProtection="1">
      <alignment horizontal="center" vertical="center"/>
    </xf>
    <xf numFmtId="0" fontId="2" fillId="4" borderId="25" xfId="1" applyFont="1" applyFill="1" applyBorder="1" applyAlignment="1" applyProtection="1">
      <alignment horizontal="left" vertical="center" wrapText="1"/>
      <protection locked="0"/>
    </xf>
    <xf numFmtId="0" fontId="3" fillId="4" borderId="26" xfId="1" applyFont="1" applyFill="1" applyBorder="1" applyAlignment="1" applyProtection="1">
      <alignment horizontal="center" vertical="center" wrapText="1"/>
      <protection locked="0"/>
    </xf>
    <xf numFmtId="165" fontId="3" fillId="0" borderId="26" xfId="1" applyNumberFormat="1" applyFont="1" applyFill="1" applyBorder="1" applyAlignment="1" applyProtection="1">
      <alignment horizontal="center" vertical="center" wrapText="1"/>
      <protection locked="0"/>
    </xf>
    <xf numFmtId="165" fontId="3" fillId="0" borderId="26" xfId="1" applyNumberFormat="1" applyFont="1" applyFill="1" applyBorder="1" applyAlignment="1" applyProtection="1">
      <alignment horizontal="center" vertical="center" wrapText="1"/>
    </xf>
    <xf numFmtId="165" fontId="3" fillId="0" borderId="26" xfId="1" applyNumberFormat="1" applyFont="1" applyBorder="1" applyAlignment="1" applyProtection="1">
      <alignment horizontal="center" vertical="center"/>
    </xf>
    <xf numFmtId="0" fontId="2" fillId="0" borderId="26" xfId="1" applyFont="1" applyFill="1" applyBorder="1" applyAlignment="1" applyProtection="1">
      <alignment horizontal="center" vertical="center" wrapText="1"/>
    </xf>
    <xf numFmtId="0" fontId="2" fillId="0" borderId="26" xfId="1" applyFont="1" applyBorder="1" applyAlignment="1" applyProtection="1">
      <alignment horizontal="center" vertical="center"/>
    </xf>
    <xf numFmtId="165" fontId="3" fillId="0" borderId="0" xfId="1" applyNumberFormat="1" applyFont="1" applyFill="1" applyBorder="1" applyAlignment="1" applyProtection="1">
      <alignment horizontal="center" vertical="center" wrapText="1"/>
    </xf>
    <xf numFmtId="0" fontId="3" fillId="0" borderId="0" xfId="1" applyFont="1" applyBorder="1" applyAlignment="1"/>
    <xf numFmtId="0" fontId="3" fillId="0" borderId="21" xfId="1" applyFont="1" applyBorder="1" applyAlignment="1">
      <alignment horizontal="center" vertical="center"/>
    </xf>
    <xf numFmtId="0" fontId="3" fillId="0" borderId="20" xfId="1" applyFont="1" applyBorder="1" applyAlignment="1">
      <alignment horizontal="center" vertical="center"/>
    </xf>
    <xf numFmtId="0" fontId="3" fillId="0" borderId="20" xfId="1" applyFont="1" applyBorder="1" applyAlignment="1"/>
    <xf numFmtId="0" fontId="2" fillId="0" borderId="20" xfId="1" applyFont="1" applyFill="1" applyBorder="1" applyAlignment="1" applyProtection="1">
      <alignment horizontal="center" vertical="center" wrapText="1"/>
    </xf>
    <xf numFmtId="0" fontId="3" fillId="0" borderId="20" xfId="1" applyFont="1" applyBorder="1" applyAlignment="1" applyProtection="1">
      <alignment horizontal="center" vertical="center"/>
    </xf>
    <xf numFmtId="0" fontId="3" fillId="0" borderId="33" xfId="1" applyFont="1" applyBorder="1" applyAlignment="1" applyProtection="1">
      <alignment horizontal="center" vertical="center"/>
    </xf>
    <xf numFmtId="0" fontId="2" fillId="0" borderId="25" xfId="1" applyFont="1" applyBorder="1" applyAlignment="1">
      <alignment horizontal="left" vertical="center"/>
    </xf>
    <xf numFmtId="0" fontId="3" fillId="0" borderId="26" xfId="1" applyFont="1" applyBorder="1" applyAlignment="1">
      <alignment horizontal="center" vertical="center"/>
    </xf>
    <xf numFmtId="2" fontId="2" fillId="0" borderId="6" xfId="1" applyNumberFormat="1" applyFont="1" applyFill="1" applyBorder="1" applyAlignment="1" applyProtection="1">
      <alignment horizontal="center" vertical="center"/>
      <protection locked="0"/>
    </xf>
    <xf numFmtId="2" fontId="2" fillId="0" borderId="7" xfId="1" applyNumberFormat="1" applyFont="1" applyFill="1" applyBorder="1" applyAlignment="1" applyProtection="1">
      <alignment horizontal="center" vertical="center"/>
      <protection locked="0"/>
    </xf>
    <xf numFmtId="167" fontId="2" fillId="0" borderId="7" xfId="1" applyNumberFormat="1" applyFont="1" applyFill="1" applyBorder="1" applyAlignment="1" applyProtection="1">
      <alignment horizontal="center" vertical="center"/>
    </xf>
    <xf numFmtId="0" fontId="2" fillId="0" borderId="7" xfId="1" applyFont="1" applyFill="1" applyBorder="1" applyAlignment="1" applyProtection="1">
      <alignment horizontal="center" vertical="center" wrapText="1"/>
    </xf>
    <xf numFmtId="0" fontId="2" fillId="4" borderId="4" xfId="1" applyFont="1" applyFill="1" applyBorder="1" applyAlignment="1" applyProtection="1">
      <alignment horizontal="left" vertical="center" wrapText="1"/>
      <protection locked="0"/>
    </xf>
    <xf numFmtId="0" fontId="3" fillId="2" borderId="11" xfId="1" applyFont="1" applyFill="1" applyBorder="1" applyAlignment="1" applyProtection="1">
      <alignment vertical="center" wrapText="1"/>
      <protection locked="0"/>
    </xf>
    <xf numFmtId="2" fontId="3" fillId="0" borderId="10" xfId="1" applyNumberFormat="1" applyFont="1" applyBorder="1" applyAlignment="1" applyProtection="1">
      <alignment horizontal="center" vertical="center"/>
    </xf>
    <xf numFmtId="164" fontId="3" fillId="0" borderId="10" xfId="1" applyNumberFormat="1" applyFont="1" applyBorder="1" applyAlignment="1" applyProtection="1">
      <alignment horizontal="center" vertical="center"/>
    </xf>
    <xf numFmtId="2" fontId="3" fillId="0" borderId="32" xfId="1" applyNumberFormat="1" applyFont="1" applyBorder="1" applyAlignment="1" applyProtection="1">
      <alignment horizontal="center" vertical="center"/>
    </xf>
    <xf numFmtId="0" fontId="5" fillId="0" borderId="4" xfId="0" applyFont="1" applyBorder="1" applyAlignment="1">
      <alignment horizontal="left"/>
    </xf>
    <xf numFmtId="0" fontId="2" fillId="4" borderId="9" xfId="1" applyFont="1" applyFill="1" applyBorder="1" applyAlignment="1" applyProtection="1">
      <alignment horizontal="center" vertical="center" wrapText="1"/>
      <protection locked="0"/>
    </xf>
    <xf numFmtId="2" fontId="4" fillId="0" borderId="10" xfId="1" applyNumberFormat="1" applyFont="1" applyFill="1" applyBorder="1" applyAlignment="1" applyProtection="1">
      <alignment horizontal="center" vertical="center"/>
      <protection locked="0"/>
    </xf>
    <xf numFmtId="0" fontId="2" fillId="4" borderId="9" xfId="1" applyFont="1" applyFill="1" applyBorder="1" applyAlignment="1" applyProtection="1">
      <alignment horizontal="center" vertical="center" wrapText="1"/>
      <protection locked="0"/>
    </xf>
    <xf numFmtId="0" fontId="2" fillId="0" borderId="34" xfId="1" applyFont="1" applyFill="1" applyBorder="1" applyAlignment="1" applyProtection="1">
      <alignment horizontal="left" vertical="center"/>
    </xf>
    <xf numFmtId="0" fontId="2" fillId="0" borderId="37" xfId="1" applyFont="1" applyFill="1" applyBorder="1" applyAlignment="1" applyProtection="1">
      <alignment horizontal="left" vertical="center"/>
    </xf>
    <xf numFmtId="0" fontId="2" fillId="0" borderId="10" xfId="1" applyFont="1" applyFill="1" applyBorder="1" applyAlignment="1" applyProtection="1">
      <alignment horizontal="center" vertical="center"/>
    </xf>
    <xf numFmtId="165" fontId="2" fillId="0" borderId="10" xfId="1" applyNumberFormat="1" applyFont="1" applyFill="1" applyBorder="1" applyAlignment="1" applyProtection="1">
      <alignment horizontal="center" vertical="center"/>
    </xf>
    <xf numFmtId="0" fontId="2" fillId="0" borderId="32" xfId="1" applyFont="1" applyFill="1" applyBorder="1" applyAlignment="1" applyProtection="1">
      <alignment horizontal="center" vertical="center"/>
    </xf>
    <xf numFmtId="0" fontId="2" fillId="4" borderId="9" xfId="1" applyFont="1" applyFill="1" applyBorder="1" applyAlignment="1" applyProtection="1">
      <alignment horizontal="center" vertical="center" wrapText="1"/>
      <protection locked="0"/>
    </xf>
    <xf numFmtId="0" fontId="2" fillId="0" borderId="6" xfId="1" applyFont="1" applyFill="1" applyBorder="1" applyAlignment="1" applyProtection="1">
      <alignment horizontal="center" vertical="center"/>
    </xf>
    <xf numFmtId="166" fontId="3" fillId="0" borderId="44" xfId="1" applyNumberFormat="1" applyFont="1" applyBorder="1" applyAlignment="1" applyProtection="1">
      <alignment horizontal="center" vertical="center"/>
    </xf>
    <xf numFmtId="166" fontId="3" fillId="0" borderId="45" xfId="1" applyNumberFormat="1" applyFont="1" applyBorder="1" applyAlignment="1" applyProtection="1">
      <alignment horizontal="center" vertical="center"/>
    </xf>
    <xf numFmtId="0" fontId="3" fillId="3" borderId="17" xfId="1" applyFont="1" applyFill="1" applyBorder="1" applyAlignment="1" applyProtection="1">
      <alignment horizontal="center" vertical="center"/>
    </xf>
    <xf numFmtId="0" fontId="3" fillId="3" borderId="46" xfId="1" applyFont="1" applyFill="1" applyBorder="1" applyAlignment="1" applyProtection="1">
      <alignment horizontal="center" vertical="center"/>
    </xf>
    <xf numFmtId="0" fontId="2" fillId="0" borderId="44" xfId="1" applyFont="1" applyBorder="1" applyAlignment="1" applyProtection="1">
      <alignment horizontal="center" vertical="center"/>
    </xf>
    <xf numFmtId="0" fontId="2" fillId="0" borderId="44" xfId="1" applyFont="1" applyBorder="1" applyAlignment="1" applyProtection="1">
      <alignment horizontal="center" vertical="center" wrapText="1"/>
    </xf>
    <xf numFmtId="0" fontId="2" fillId="0" borderId="45" xfId="1" applyFont="1" applyBorder="1" applyAlignment="1" applyProtection="1">
      <alignment horizontal="center" vertical="center"/>
    </xf>
    <xf numFmtId="0" fontId="3" fillId="0" borderId="41" xfId="1" applyFont="1" applyFill="1" applyBorder="1" applyAlignment="1" applyProtection="1">
      <alignment horizontal="left" vertical="center"/>
    </xf>
    <xf numFmtId="0" fontId="5" fillId="0" borderId="32" xfId="3" applyFont="1" applyFill="1" applyBorder="1" applyAlignment="1">
      <alignment horizontal="center" vertical="center"/>
    </xf>
    <xf numFmtId="2" fontId="5" fillId="0" borderId="32" xfId="3" applyNumberFormat="1" applyFont="1" applyFill="1" applyBorder="1" applyAlignment="1">
      <alignment horizontal="center" vertical="center"/>
    </xf>
    <xf numFmtId="0" fontId="3" fillId="2" borderId="48" xfId="1" applyFont="1" applyFill="1" applyBorder="1" applyAlignment="1" applyProtection="1">
      <alignment vertical="center" wrapText="1"/>
      <protection locked="0"/>
    </xf>
    <xf numFmtId="2" fontId="4" fillId="0" borderId="38" xfId="3" applyNumberFormat="1" applyFont="1" applyFill="1" applyBorder="1" applyAlignment="1">
      <alignment horizontal="center" vertical="center" wrapText="1"/>
    </xf>
    <xf numFmtId="2" fontId="4" fillId="0" borderId="44" xfId="1" applyNumberFormat="1" applyFont="1" applyFill="1" applyBorder="1" applyAlignment="1" applyProtection="1">
      <alignment horizontal="center" vertical="center"/>
      <protection locked="0"/>
    </xf>
    <xf numFmtId="165" fontId="2" fillId="3" borderId="44" xfId="2" applyNumberFormat="1" applyFont="1" applyFill="1" applyBorder="1" applyAlignment="1" applyProtection="1">
      <alignment horizontal="center" vertical="center" wrapText="1"/>
      <protection locked="0"/>
    </xf>
    <xf numFmtId="2" fontId="5" fillId="0" borderId="45" xfId="3" applyNumberFormat="1" applyFont="1" applyFill="1" applyBorder="1" applyAlignment="1">
      <alignment horizontal="center" vertical="center"/>
    </xf>
    <xf numFmtId="0" fontId="2" fillId="0" borderId="9" xfId="1" applyFont="1" applyBorder="1" applyAlignment="1" applyProtection="1">
      <alignment vertical="center"/>
    </xf>
    <xf numFmtId="0" fontId="3" fillId="0" borderId="32" xfId="1" applyFont="1" applyBorder="1" applyAlignment="1" applyProtection="1">
      <alignment horizontal="center" vertical="center"/>
    </xf>
    <xf numFmtId="0" fontId="2" fillId="0" borderId="37" xfId="1" applyFont="1" applyBorder="1" applyAlignment="1" applyProtection="1">
      <alignment vertical="center"/>
    </xf>
    <xf numFmtId="164" fontId="3" fillId="0" borderId="44" xfId="1" applyNumberFormat="1" applyFont="1" applyBorder="1" applyAlignment="1" applyProtection="1">
      <alignment horizontal="center" vertical="center"/>
    </xf>
    <xf numFmtId="0" fontId="3" fillId="0" borderId="45" xfId="1" applyFont="1" applyBorder="1" applyAlignment="1" applyProtection="1">
      <alignment horizontal="center" vertical="center"/>
    </xf>
    <xf numFmtId="2" fontId="2" fillId="0" borderId="32" xfId="1" applyNumberFormat="1" applyFont="1" applyFill="1" applyBorder="1" applyAlignment="1" applyProtection="1">
      <alignment horizontal="center" vertical="center"/>
    </xf>
    <xf numFmtId="0" fontId="3" fillId="0" borderId="7" xfId="1" applyFont="1" applyBorder="1" applyAlignment="1">
      <alignment horizontal="center" vertical="center"/>
    </xf>
    <xf numFmtId="2" fontId="2" fillId="0" borderId="7" xfId="1" applyNumberFormat="1" applyFont="1" applyFill="1" applyBorder="1" applyAlignment="1" applyProtection="1">
      <alignment horizontal="center" vertical="center" wrapText="1"/>
    </xf>
    <xf numFmtId="2" fontId="2" fillId="0" borderId="8" xfId="1" applyNumberFormat="1" applyFont="1" applyFill="1" applyBorder="1" applyAlignment="1" applyProtection="1">
      <alignment horizontal="center" vertical="center" wrapText="1"/>
    </xf>
    <xf numFmtId="165" fontId="3" fillId="3" borderId="32" xfId="2" applyNumberFormat="1" applyFont="1" applyFill="1" applyBorder="1" applyAlignment="1" applyProtection="1">
      <alignment horizontal="center" vertical="center"/>
    </xf>
    <xf numFmtId="0" fontId="3" fillId="0" borderId="32" xfId="1" applyFont="1" applyFill="1" applyBorder="1" applyAlignment="1" applyProtection="1">
      <alignment horizontal="center" vertical="center"/>
    </xf>
    <xf numFmtId="0" fontId="3" fillId="0" borderId="5" xfId="1" applyFont="1" applyFill="1" applyBorder="1" applyAlignment="1" applyProtection="1">
      <alignment horizontal="center" vertical="center"/>
    </xf>
    <xf numFmtId="0" fontId="2" fillId="0" borderId="7" xfId="1" quotePrefix="1" applyFont="1" applyBorder="1" applyAlignment="1" applyProtection="1">
      <alignment horizontal="center" vertical="center"/>
    </xf>
    <xf numFmtId="167" fontId="2" fillId="3" borderId="44" xfId="1" applyNumberFormat="1" applyFont="1" applyFill="1" applyBorder="1" applyAlignment="1" applyProtection="1">
      <alignment horizontal="center" vertical="center"/>
    </xf>
    <xf numFmtId="167" fontId="2" fillId="3" borderId="45" xfId="1" applyNumberFormat="1" applyFont="1" applyFill="1" applyBorder="1" applyAlignment="1" applyProtection="1">
      <alignment horizontal="center" vertical="center"/>
    </xf>
    <xf numFmtId="167" fontId="2" fillId="3" borderId="32" xfId="1" applyNumberFormat="1" applyFont="1" applyFill="1" applyBorder="1" applyAlignment="1" applyProtection="1">
      <alignment horizontal="center" vertical="center"/>
    </xf>
    <xf numFmtId="0" fontId="2" fillId="0" borderId="7" xfId="1" applyFont="1" applyBorder="1" applyAlignment="1" applyProtection="1">
      <alignment horizontal="center" vertical="center" wrapText="1"/>
    </xf>
    <xf numFmtId="0" fontId="3" fillId="0" borderId="7" xfId="1" applyFont="1" applyFill="1" applyBorder="1" applyAlignment="1" applyProtection="1">
      <alignment horizontal="center" vertical="center"/>
      <protection locked="0"/>
    </xf>
    <xf numFmtId="165" fontId="2" fillId="0" borderId="7" xfId="1" applyNumberFormat="1" applyFont="1" applyFill="1" applyBorder="1" applyAlignment="1" applyProtection="1">
      <alignment horizontal="center" vertical="center"/>
    </xf>
    <xf numFmtId="0" fontId="3" fillId="0" borderId="8" xfId="1" applyFont="1" applyFill="1" applyBorder="1" applyAlignment="1" applyProtection="1">
      <alignment horizontal="center" vertical="center"/>
    </xf>
    <xf numFmtId="1" fontId="3" fillId="0" borderId="27" xfId="1" applyNumberFormat="1" applyFont="1" applyFill="1" applyBorder="1" applyAlignment="1" applyProtection="1">
      <alignment vertical="center"/>
      <protection locked="0"/>
    </xf>
    <xf numFmtId="165" fontId="7" fillId="0" borderId="32" xfId="1" applyNumberFormat="1" applyFont="1" applyFill="1" applyBorder="1" applyAlignment="1" applyProtection="1">
      <alignment horizontal="center" vertical="center"/>
      <protection locked="0"/>
    </xf>
    <xf numFmtId="0" fontId="3" fillId="0" borderId="37" xfId="1" applyFont="1" applyFill="1" applyBorder="1" applyAlignment="1" applyProtection="1">
      <alignment horizontal="center" vertical="center"/>
    </xf>
    <xf numFmtId="0" fontId="3" fillId="0" borderId="38" xfId="1" applyFont="1" applyBorder="1" applyAlignment="1" applyProtection="1">
      <alignment horizontal="center" vertical="center"/>
    </xf>
    <xf numFmtId="0" fontId="3" fillId="0" borderId="44" xfId="1" applyFont="1" applyFill="1" applyBorder="1" applyAlignment="1" applyProtection="1">
      <alignment horizontal="center" vertical="center"/>
      <protection locked="0"/>
    </xf>
    <xf numFmtId="165" fontId="2" fillId="0" borderId="44" xfId="1" applyNumberFormat="1" applyFont="1" applyFill="1" applyBorder="1" applyAlignment="1" applyProtection="1">
      <alignment horizontal="center" vertical="center"/>
    </xf>
    <xf numFmtId="0" fontId="3" fillId="0" borderId="44" xfId="1" applyFont="1" applyFill="1" applyBorder="1" applyAlignment="1" applyProtection="1">
      <alignment horizontal="center" vertical="center"/>
    </xf>
    <xf numFmtId="165" fontId="3" fillId="0" borderId="44" xfId="1" applyNumberFormat="1" applyFont="1" applyFill="1" applyBorder="1" applyAlignment="1" applyProtection="1">
      <alignment horizontal="center" vertical="center"/>
    </xf>
    <xf numFmtId="165" fontId="7" fillId="0" borderId="45" xfId="1" applyNumberFormat="1" applyFont="1" applyFill="1" applyBorder="1" applyAlignment="1" applyProtection="1">
      <alignment horizontal="center" vertical="center"/>
      <protection locked="0"/>
    </xf>
    <xf numFmtId="1" fontId="3" fillId="0" borderId="12" xfId="1" applyNumberFormat="1" applyFont="1" applyFill="1" applyBorder="1" applyAlignment="1" applyProtection="1">
      <alignment vertical="center"/>
      <protection locked="0"/>
    </xf>
    <xf numFmtId="0" fontId="2" fillId="0" borderId="10" xfId="1" applyFont="1" applyFill="1" applyBorder="1" applyAlignment="1" applyProtection="1">
      <alignment horizontal="center" vertical="center"/>
    </xf>
    <xf numFmtId="167" fontId="3" fillId="0" borderId="10" xfId="1" applyNumberFormat="1" applyFont="1" applyFill="1" applyBorder="1" applyAlignment="1" applyProtection="1">
      <alignment horizontal="center" vertical="center" wrapText="1"/>
    </xf>
    <xf numFmtId="165" fontId="3" fillId="5" borderId="32" xfId="2" applyNumberFormat="1" applyFont="1" applyFill="1" applyBorder="1" applyAlignment="1" applyProtection="1">
      <alignment horizontal="center" vertical="center"/>
    </xf>
    <xf numFmtId="167" fontId="3" fillId="4" borderId="10" xfId="1" applyNumberFormat="1" applyFont="1" applyFill="1" applyBorder="1" applyAlignment="1" applyProtection="1">
      <alignment horizontal="center" vertical="center"/>
    </xf>
    <xf numFmtId="0" fontId="2" fillId="0" borderId="35" xfId="1" applyFont="1" applyBorder="1" applyAlignment="1" applyProtection="1">
      <alignment horizontal="center" vertical="center"/>
    </xf>
    <xf numFmtId="0" fontId="2" fillId="0" borderId="36" xfId="1" applyFont="1" applyBorder="1" applyAlignment="1" applyProtection="1">
      <alignment horizontal="center" vertical="center"/>
    </xf>
    <xf numFmtId="0" fontId="2" fillId="4" borderId="10" xfId="1" applyFont="1" applyFill="1" applyBorder="1" applyAlignment="1" applyProtection="1">
      <alignment horizontal="center" vertical="center"/>
    </xf>
    <xf numFmtId="2" fontId="2" fillId="4" borderId="10" xfId="1" applyNumberFormat="1" applyFont="1" applyFill="1" applyBorder="1" applyAlignment="1" applyProtection="1">
      <alignment horizontal="center" vertical="center"/>
    </xf>
    <xf numFmtId="0" fontId="2" fillId="0" borderId="10" xfId="1" applyFont="1" applyFill="1" applyBorder="1" applyAlignment="1" applyProtection="1">
      <alignment horizontal="center" vertical="center"/>
    </xf>
    <xf numFmtId="165" fontId="2" fillId="0" borderId="10" xfId="1" applyNumberFormat="1" applyFont="1" applyFill="1" applyBorder="1" applyAlignment="1" applyProtection="1">
      <alignment horizontal="center" vertical="center"/>
    </xf>
    <xf numFmtId="164" fontId="2" fillId="4" borderId="10" xfId="1" applyNumberFormat="1" applyFont="1" applyFill="1" applyBorder="1" applyAlignment="1" applyProtection="1">
      <alignment horizontal="center" vertical="center"/>
    </xf>
    <xf numFmtId="0" fontId="2" fillId="0" borderId="37" xfId="1" applyFont="1" applyFill="1" applyBorder="1" applyAlignment="1" applyProtection="1">
      <alignment horizontal="left" vertical="center"/>
      <protection locked="0"/>
    </xf>
    <xf numFmtId="0" fontId="0" fillId="0" borderId="44" xfId="0" applyBorder="1" applyAlignment="1">
      <alignment horizontal="left" vertical="center"/>
    </xf>
    <xf numFmtId="0" fontId="9" fillId="0" borderId="25" xfId="1" applyFont="1" applyFill="1" applyBorder="1" applyAlignment="1" applyProtection="1">
      <alignment horizontal="center" vertical="center"/>
    </xf>
    <xf numFmtId="0" fontId="9" fillId="0" borderId="26" xfId="1" applyFont="1" applyFill="1" applyBorder="1" applyAlignment="1" applyProtection="1">
      <alignment horizontal="center" vertical="center"/>
    </xf>
    <xf numFmtId="0" fontId="9" fillId="0" borderId="27" xfId="1" applyFont="1" applyFill="1" applyBorder="1" applyAlignment="1" applyProtection="1">
      <alignment horizontal="center" vertical="center"/>
    </xf>
    <xf numFmtId="0" fontId="3" fillId="0" borderId="14" xfId="1" applyFont="1" applyFill="1" applyBorder="1" applyAlignment="1" applyProtection="1">
      <alignment horizontal="center" vertical="center" wrapText="1"/>
    </xf>
    <xf numFmtId="0" fontId="3" fillId="0" borderId="15" xfId="1" applyFont="1" applyFill="1" applyBorder="1" applyAlignment="1" applyProtection="1">
      <alignment horizontal="center" vertical="center" wrapText="1"/>
    </xf>
    <xf numFmtId="0" fontId="3" fillId="0" borderId="49" xfId="1" applyFont="1" applyFill="1" applyBorder="1" applyAlignment="1" applyProtection="1">
      <alignment horizontal="center" vertical="center" wrapText="1"/>
    </xf>
    <xf numFmtId="0" fontId="2" fillId="0" borderId="22" xfId="1" applyFont="1" applyFill="1" applyBorder="1" applyAlignment="1" applyProtection="1">
      <alignment horizontal="center" vertical="center" wrapText="1"/>
    </xf>
    <xf numFmtId="0" fontId="2" fillId="0" borderId="24" xfId="1" applyFont="1" applyFill="1" applyBorder="1" applyAlignment="1" applyProtection="1">
      <alignment horizontal="center" vertical="center" wrapText="1"/>
    </xf>
    <xf numFmtId="165" fontId="2" fillId="0" borderId="13" xfId="1" quotePrefix="1" applyNumberFormat="1" applyFont="1" applyFill="1" applyBorder="1" applyAlignment="1" applyProtection="1">
      <alignment horizontal="center" vertical="center"/>
    </xf>
    <xf numFmtId="165" fontId="2" fillId="0" borderId="18" xfId="1" applyNumberFormat="1" applyFont="1" applyFill="1" applyBorder="1" applyAlignment="1" applyProtection="1">
      <alignment horizontal="center" vertical="center"/>
    </xf>
    <xf numFmtId="165" fontId="2" fillId="0" borderId="53" xfId="1" applyNumberFormat="1" applyFont="1" applyFill="1" applyBorder="1" applyAlignment="1" applyProtection="1">
      <alignment horizontal="center" vertical="center"/>
    </xf>
    <xf numFmtId="165" fontId="2" fillId="0" borderId="19" xfId="1" applyNumberFormat="1" applyFont="1" applyFill="1" applyBorder="1" applyAlignment="1" applyProtection="1">
      <alignment horizontal="center" vertical="center"/>
    </xf>
    <xf numFmtId="165" fontId="2" fillId="0" borderId="20" xfId="1" applyNumberFormat="1" applyFont="1" applyFill="1" applyBorder="1" applyAlignment="1" applyProtection="1">
      <alignment horizontal="center" vertical="center"/>
    </xf>
    <xf numFmtId="165" fontId="2" fillId="0" borderId="33" xfId="1" applyNumberFormat="1" applyFont="1" applyFill="1" applyBorder="1" applyAlignment="1" applyProtection="1">
      <alignment horizontal="center" vertical="center"/>
    </xf>
    <xf numFmtId="0" fontId="2" fillId="0" borderId="50" xfId="1" applyFont="1" applyBorder="1" applyAlignment="1">
      <alignment horizontal="left" vertical="center"/>
    </xf>
    <xf numFmtId="0" fontId="2" fillId="0" borderId="51" xfId="1" applyFont="1" applyBorder="1" applyAlignment="1">
      <alignment horizontal="left" vertical="center"/>
    </xf>
    <xf numFmtId="0" fontId="2" fillId="0" borderId="52" xfId="1" applyFont="1" applyBorder="1" applyAlignment="1">
      <alignment horizontal="left" vertical="center"/>
    </xf>
    <xf numFmtId="0" fontId="2" fillId="0" borderId="9" xfId="1" applyFont="1" applyBorder="1" applyAlignment="1" applyProtection="1">
      <alignment horizontal="center" vertical="center" wrapText="1"/>
    </xf>
    <xf numFmtId="0" fontId="2" fillId="0" borderId="10" xfId="1" applyFont="1" applyBorder="1" applyAlignment="1" applyProtection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2" fillId="0" borderId="32" xfId="1" applyFont="1" applyBorder="1" applyAlignment="1" applyProtection="1">
      <alignment horizontal="center" vertical="center" wrapText="1"/>
    </xf>
    <xf numFmtId="0" fontId="2" fillId="0" borderId="34" xfId="1" applyFont="1" applyBorder="1" applyAlignment="1">
      <alignment horizontal="left" vertical="center"/>
    </xf>
    <xf numFmtId="0" fontId="2" fillId="0" borderId="35" xfId="1" applyFont="1" applyBorder="1" applyAlignment="1">
      <alignment horizontal="left" vertical="center"/>
    </xf>
    <xf numFmtId="0" fontId="2" fillId="0" borderId="36" xfId="1" applyFont="1" applyBorder="1" applyAlignment="1">
      <alignment horizontal="left" vertical="center"/>
    </xf>
    <xf numFmtId="0" fontId="2" fillId="0" borderId="50" xfId="1" applyFont="1" applyFill="1" applyBorder="1" applyAlignment="1" applyProtection="1">
      <alignment horizontal="left" vertical="center"/>
    </xf>
    <xf numFmtId="0" fontId="2" fillId="0" borderId="51" xfId="1" applyFont="1" applyFill="1" applyBorder="1" applyAlignment="1" applyProtection="1">
      <alignment horizontal="left" vertical="center"/>
    </xf>
    <xf numFmtId="0" fontId="2" fillId="0" borderId="52" xfId="1" applyFont="1" applyFill="1" applyBorder="1" applyAlignment="1" applyProtection="1">
      <alignment horizontal="left" vertical="center"/>
    </xf>
    <xf numFmtId="0" fontId="2" fillId="0" borderId="14" xfId="1" applyFont="1" applyFill="1" applyBorder="1" applyAlignment="1" applyProtection="1">
      <alignment horizontal="center" vertical="center" wrapText="1"/>
    </xf>
    <xf numFmtId="0" fontId="2" fillId="0" borderId="17" xfId="1" applyFont="1" applyFill="1" applyBorder="1" applyAlignment="1" applyProtection="1">
      <alignment horizontal="center" vertical="center" wrapText="1"/>
    </xf>
    <xf numFmtId="0" fontId="2" fillId="2" borderId="14" xfId="1" applyFont="1" applyFill="1" applyBorder="1" applyAlignment="1" applyProtection="1">
      <alignment horizontal="center" vertical="center" wrapText="1"/>
      <protection locked="0"/>
    </xf>
    <xf numFmtId="0" fontId="2" fillId="2" borderId="17" xfId="1" applyFont="1" applyFill="1" applyBorder="1" applyAlignment="1" applyProtection="1">
      <alignment horizontal="center" vertical="center" wrapText="1"/>
      <protection locked="0"/>
    </xf>
    <xf numFmtId="0" fontId="2" fillId="0" borderId="47" xfId="1" applyFont="1" applyFill="1" applyBorder="1" applyAlignment="1" applyProtection="1">
      <alignment horizontal="center" vertical="center" wrapText="1"/>
    </xf>
    <xf numFmtId="0" fontId="2" fillId="0" borderId="46" xfId="1" applyFont="1" applyFill="1" applyBorder="1" applyAlignment="1" applyProtection="1">
      <alignment horizontal="center" vertical="center" wrapText="1"/>
    </xf>
    <xf numFmtId="0" fontId="2" fillId="0" borderId="35" xfId="1" applyFont="1" applyFill="1" applyBorder="1" applyAlignment="1" applyProtection="1">
      <alignment horizontal="left" vertical="center"/>
      <protection locked="0"/>
    </xf>
    <xf numFmtId="0" fontId="2" fillId="0" borderId="36" xfId="1" applyFont="1" applyFill="1" applyBorder="1" applyAlignment="1" applyProtection="1">
      <alignment horizontal="left" vertical="center"/>
      <protection locked="0"/>
    </xf>
    <xf numFmtId="0" fontId="2" fillId="0" borderId="14" xfId="1" applyFont="1" applyBorder="1" applyAlignment="1" applyProtection="1">
      <alignment horizontal="center" vertical="center" wrapText="1"/>
    </xf>
    <xf numFmtId="0" fontId="2" fillId="0" borderId="15" xfId="1" applyFont="1" applyBorder="1" applyAlignment="1" applyProtection="1">
      <alignment horizontal="center" vertical="center" wrapText="1"/>
    </xf>
    <xf numFmtId="0" fontId="2" fillId="0" borderId="17" xfId="1" applyFont="1" applyBorder="1" applyAlignment="1" applyProtection="1">
      <alignment horizontal="center" vertical="center" wrapText="1"/>
    </xf>
    <xf numFmtId="0" fontId="2" fillId="0" borderId="22" xfId="1" applyFont="1" applyFill="1" applyBorder="1" applyAlignment="1" applyProtection="1">
      <alignment horizontal="center" vertical="center"/>
    </xf>
    <xf numFmtId="0" fontId="2" fillId="0" borderId="23" xfId="1" applyFont="1" applyFill="1" applyBorder="1" applyAlignment="1" applyProtection="1">
      <alignment horizontal="center" vertical="center"/>
    </xf>
    <xf numFmtId="0" fontId="2" fillId="0" borderId="24" xfId="1" applyFont="1" applyFill="1" applyBorder="1" applyAlignment="1" applyProtection="1">
      <alignment horizontal="center" vertical="center"/>
    </xf>
    <xf numFmtId="0" fontId="2" fillId="0" borderId="14" xfId="1" applyFont="1" applyFill="1" applyBorder="1" applyAlignment="1" applyProtection="1">
      <alignment horizontal="center" vertical="center" wrapText="1"/>
      <protection locked="0"/>
    </xf>
    <xf numFmtId="0" fontId="2" fillId="0" borderId="15" xfId="1" applyFont="1" applyFill="1" applyBorder="1" applyAlignment="1" applyProtection="1">
      <alignment horizontal="center" vertical="center" wrapText="1"/>
      <protection locked="0"/>
    </xf>
    <xf numFmtId="0" fontId="2" fillId="0" borderId="17" xfId="1" applyFont="1" applyFill="1" applyBorder="1" applyAlignment="1" applyProtection="1">
      <alignment horizontal="center" vertical="center" wrapText="1"/>
      <protection locked="0"/>
    </xf>
    <xf numFmtId="0" fontId="3" fillId="0" borderId="20" xfId="1" applyFont="1" applyBorder="1" applyAlignment="1">
      <alignment horizontal="center"/>
    </xf>
    <xf numFmtId="0" fontId="10" fillId="0" borderId="7" xfId="1" applyFont="1" applyBorder="1" applyAlignment="1" applyProtection="1">
      <alignment horizontal="center" vertical="center"/>
    </xf>
    <xf numFmtId="165" fontId="3" fillId="0" borderId="0" xfId="1" applyNumberFormat="1" applyFont="1" applyFill="1" applyBorder="1" applyAlignment="1" applyProtection="1">
      <alignment horizontal="center" vertical="center" wrapText="1"/>
    </xf>
    <xf numFmtId="0" fontId="2" fillId="0" borderId="0" xfId="1" applyFont="1" applyBorder="1" applyAlignment="1" applyProtection="1">
      <alignment horizontal="center" vertical="center"/>
    </xf>
    <xf numFmtId="0" fontId="3" fillId="0" borderId="0" xfId="1" applyFont="1" applyBorder="1" applyAlignment="1">
      <alignment horizontal="center" vertical="center"/>
    </xf>
    <xf numFmtId="0" fontId="2" fillId="2" borderId="1" xfId="1" applyFont="1" applyFill="1" applyBorder="1" applyAlignment="1" applyProtection="1">
      <alignment horizontal="center" vertical="center"/>
    </xf>
    <xf numFmtId="0" fontId="2" fillId="2" borderId="2" xfId="1" applyFont="1" applyFill="1" applyBorder="1" applyAlignment="1" applyProtection="1">
      <alignment horizontal="center" vertical="center"/>
    </xf>
    <xf numFmtId="0" fontId="2" fillId="2" borderId="3" xfId="1" applyFont="1" applyFill="1" applyBorder="1" applyAlignment="1" applyProtection="1">
      <alignment horizontal="center" vertical="center"/>
    </xf>
    <xf numFmtId="0" fontId="2" fillId="4" borderId="9" xfId="1" applyFont="1" applyFill="1" applyBorder="1" applyAlignment="1" applyProtection="1">
      <alignment horizontal="center" vertical="center" wrapText="1"/>
      <protection locked="0"/>
    </xf>
    <xf numFmtId="0" fontId="2" fillId="0" borderId="16" xfId="1" applyFont="1" applyFill="1" applyBorder="1" applyAlignment="1" applyProtection="1">
      <alignment horizontal="center" vertical="center"/>
    </xf>
    <xf numFmtId="0" fontId="2" fillId="0" borderId="12" xfId="1" applyFont="1" applyFill="1" applyBorder="1" applyAlignment="1" applyProtection="1">
      <alignment horizontal="center" vertical="center"/>
    </xf>
    <xf numFmtId="0" fontId="2" fillId="0" borderId="32" xfId="1" applyFont="1" applyFill="1" applyBorder="1" applyAlignment="1" applyProtection="1">
      <alignment horizontal="center" vertical="center"/>
    </xf>
    <xf numFmtId="165" fontId="2" fillId="0" borderId="1" xfId="3" applyNumberFormat="1" applyFont="1" applyFill="1" applyBorder="1" applyAlignment="1" applyProtection="1">
      <alignment horizontal="left" vertical="center"/>
      <protection locked="0"/>
    </xf>
    <xf numFmtId="165" fontId="2" fillId="0" borderId="2" xfId="3" applyNumberFormat="1" applyFont="1" applyFill="1" applyBorder="1" applyAlignment="1" applyProtection="1">
      <alignment horizontal="left" vertical="center"/>
      <protection locked="0"/>
    </xf>
    <xf numFmtId="165" fontId="2" fillId="0" borderId="3" xfId="3" applyNumberFormat="1" applyFont="1" applyFill="1" applyBorder="1" applyAlignment="1" applyProtection="1">
      <alignment horizontal="left" vertical="center"/>
      <protection locked="0"/>
    </xf>
    <xf numFmtId="0" fontId="2" fillId="0" borderId="24" xfId="1" applyFont="1" applyFill="1" applyBorder="1" applyAlignment="1" applyProtection="1">
      <alignment horizontal="left" vertical="center"/>
      <protection locked="0"/>
    </xf>
    <xf numFmtId="0" fontId="0" fillId="0" borderId="17" xfId="0" applyBorder="1" applyAlignment="1">
      <alignment horizontal="left" vertical="center"/>
    </xf>
    <xf numFmtId="0" fontId="2" fillId="0" borderId="9" xfId="1" applyFont="1" applyFill="1" applyBorder="1" applyAlignment="1" applyProtection="1">
      <alignment horizontal="left" vertical="center"/>
      <protection locked="0"/>
    </xf>
    <xf numFmtId="0" fontId="0" fillId="0" borderId="10" xfId="0" applyBorder="1" applyAlignment="1">
      <alignment horizontal="left" vertical="center"/>
    </xf>
    <xf numFmtId="0" fontId="3" fillId="0" borderId="17" xfId="1" applyFont="1" applyBorder="1" applyAlignment="1" applyProtection="1">
      <alignment horizontal="left" vertical="center"/>
    </xf>
    <xf numFmtId="0" fontId="3" fillId="0" borderId="10" xfId="1" applyFont="1" applyBorder="1" applyAlignment="1" applyProtection="1">
      <alignment horizontal="left" vertical="center"/>
    </xf>
    <xf numFmtId="0" fontId="3" fillId="0" borderId="44" xfId="1" applyFont="1" applyBorder="1" applyAlignment="1" applyProtection="1">
      <alignment horizontal="left" vertical="center"/>
    </xf>
    <xf numFmtId="168" fontId="2" fillId="0" borderId="10" xfId="1" applyNumberFormat="1" applyFont="1" applyFill="1" applyBorder="1" applyAlignment="1" applyProtection="1">
      <alignment horizontal="left" vertical="center"/>
      <protection locked="0"/>
    </xf>
    <xf numFmtId="168" fontId="2" fillId="0" borderId="32" xfId="1" applyNumberFormat="1" applyFont="1" applyFill="1" applyBorder="1" applyAlignment="1" applyProtection="1">
      <alignment horizontal="left" vertical="center"/>
      <protection locked="0"/>
    </xf>
    <xf numFmtId="0" fontId="2" fillId="0" borderId="10" xfId="1" applyFont="1" applyFill="1" applyBorder="1" applyAlignment="1" applyProtection="1">
      <alignment horizontal="left" vertical="center"/>
      <protection locked="0"/>
    </xf>
    <xf numFmtId="0" fontId="2" fillId="0" borderId="32" xfId="1" applyFont="1" applyFill="1" applyBorder="1" applyAlignment="1" applyProtection="1">
      <alignment horizontal="left" vertical="center"/>
      <protection locked="0"/>
    </xf>
    <xf numFmtId="0" fontId="2" fillId="0" borderId="38" xfId="1" applyFont="1" applyFill="1" applyBorder="1" applyAlignment="1" applyProtection="1">
      <alignment horizontal="left" vertical="center"/>
      <protection locked="0"/>
    </xf>
    <xf numFmtId="0" fontId="2" fillId="0" borderId="39" xfId="1" applyFont="1" applyFill="1" applyBorder="1" applyAlignment="1" applyProtection="1">
      <alignment horizontal="left" vertical="center"/>
      <protection locked="0"/>
    </xf>
    <xf numFmtId="0" fontId="2" fillId="0" borderId="40" xfId="1" applyFont="1" applyFill="1" applyBorder="1" applyAlignment="1" applyProtection="1">
      <alignment horizontal="left" vertical="center"/>
      <protection locked="0"/>
    </xf>
    <xf numFmtId="0" fontId="2" fillId="0" borderId="34" xfId="1" applyFont="1" applyFill="1" applyBorder="1" applyAlignment="1" applyProtection="1">
      <alignment horizontal="center" vertical="center"/>
      <protection locked="0"/>
    </xf>
    <xf numFmtId="0" fontId="2" fillId="0" borderId="35" xfId="1" applyFont="1" applyFill="1" applyBorder="1" applyAlignment="1" applyProtection="1">
      <alignment horizontal="center" vertical="center"/>
      <protection locked="0"/>
    </xf>
    <xf numFmtId="0" fontId="2" fillId="0" borderId="37" xfId="1" applyFont="1" applyFill="1" applyBorder="1" applyAlignment="1" applyProtection="1">
      <alignment horizontal="center" vertical="center"/>
      <protection locked="0"/>
    </xf>
    <xf numFmtId="0" fontId="2" fillId="0" borderId="44" xfId="1" applyFont="1" applyFill="1" applyBorder="1" applyAlignment="1" applyProtection="1">
      <alignment horizontal="center" vertical="center"/>
      <protection locked="0"/>
    </xf>
    <xf numFmtId="0" fontId="2" fillId="0" borderId="44" xfId="1" applyFont="1" applyBorder="1" applyAlignment="1" applyProtection="1">
      <alignment horizontal="center" vertical="center"/>
    </xf>
    <xf numFmtId="0" fontId="2" fillId="0" borderId="42" xfId="1" applyFont="1" applyFill="1" applyBorder="1" applyAlignment="1" applyProtection="1">
      <alignment horizontal="center" vertical="center"/>
    </xf>
    <xf numFmtId="0" fontId="2" fillId="0" borderId="43" xfId="1" applyFont="1" applyFill="1" applyBorder="1" applyAlignment="1" applyProtection="1">
      <alignment horizontal="center" vertical="center"/>
    </xf>
    <xf numFmtId="164" fontId="2" fillId="0" borderId="25" xfId="1" applyNumberFormat="1" applyFont="1" applyFill="1" applyBorder="1" applyAlignment="1" applyProtection="1">
      <alignment horizontal="center" vertical="center"/>
    </xf>
    <xf numFmtId="164" fontId="2" fillId="0" borderId="26" xfId="1" applyNumberFormat="1" applyFont="1" applyFill="1" applyBorder="1" applyAlignment="1" applyProtection="1">
      <alignment horizontal="center" vertical="center"/>
    </xf>
    <xf numFmtId="164" fontId="2" fillId="0" borderId="6" xfId="1" applyNumberFormat="1" applyFont="1" applyFill="1" applyBorder="1" applyAlignment="1" applyProtection="1">
      <alignment horizontal="center" vertical="center"/>
    </xf>
    <xf numFmtId="164" fontId="2" fillId="0" borderId="7" xfId="1" applyNumberFormat="1" applyFont="1" applyFill="1" applyBorder="1" applyAlignment="1" applyProtection="1">
      <alignment horizontal="center" vertical="center"/>
    </xf>
    <xf numFmtId="0" fontId="2" fillId="0" borderId="25" xfId="1" applyFont="1" applyFill="1" applyBorder="1" applyAlignment="1" applyProtection="1">
      <alignment horizontal="center" vertical="center"/>
    </xf>
    <xf numFmtId="0" fontId="2" fillId="0" borderId="27" xfId="1" applyFont="1" applyFill="1" applyBorder="1" applyAlignment="1" applyProtection="1">
      <alignment horizontal="center" vertical="center"/>
    </xf>
    <xf numFmtId="0" fontId="2" fillId="0" borderId="6" xfId="1" applyFont="1" applyFill="1" applyBorder="1" applyAlignment="1" applyProtection="1">
      <alignment horizontal="center" vertical="center"/>
    </xf>
    <xf numFmtId="0" fontId="2" fillId="0" borderId="8" xfId="1" applyFont="1" applyFill="1" applyBorder="1" applyAlignment="1" applyProtection="1">
      <alignment horizontal="center" vertical="center"/>
    </xf>
    <xf numFmtId="0" fontId="2" fillId="0" borderId="26" xfId="1" applyFont="1" applyFill="1" applyBorder="1" applyAlignment="1" applyProtection="1">
      <alignment horizontal="center" vertical="center"/>
    </xf>
    <xf numFmtId="0" fontId="2" fillId="0" borderId="7" xfId="1" applyFont="1" applyFill="1" applyBorder="1" applyAlignment="1" applyProtection="1">
      <alignment horizontal="center" vertical="center"/>
    </xf>
    <xf numFmtId="0" fontId="2" fillId="0" borderId="4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2" fillId="0" borderId="5" xfId="1" applyFont="1" applyFill="1" applyBorder="1" applyAlignment="1" applyProtection="1">
      <alignment horizontal="center" vertical="center"/>
      <protection locked="0"/>
    </xf>
    <xf numFmtId="0" fontId="3" fillId="0" borderId="1" xfId="1" applyFont="1" applyBorder="1" applyAlignment="1" applyProtection="1">
      <alignment horizontal="center" vertical="center"/>
    </xf>
    <xf numFmtId="0" fontId="3" fillId="0" borderId="2" xfId="1" applyFont="1" applyBorder="1" applyAlignment="1" applyProtection="1">
      <alignment horizontal="center" vertical="center"/>
    </xf>
    <xf numFmtId="0" fontId="3" fillId="0" borderId="3" xfId="1" applyFont="1" applyBorder="1" applyAlignment="1" applyProtection="1">
      <alignment horizontal="center" vertical="center"/>
    </xf>
    <xf numFmtId="0" fontId="2" fillId="0" borderId="1" xfId="1" applyFont="1" applyFill="1" applyBorder="1" applyAlignment="1" applyProtection="1">
      <alignment horizontal="center" vertical="center"/>
    </xf>
    <xf numFmtId="0" fontId="2" fillId="0" borderId="2" xfId="1" applyFont="1" applyFill="1" applyBorder="1" applyAlignment="1" applyProtection="1">
      <alignment horizontal="center" vertical="center"/>
    </xf>
    <xf numFmtId="0" fontId="2" fillId="0" borderId="3" xfId="1" applyFont="1" applyFill="1" applyBorder="1" applyAlignment="1" applyProtection="1">
      <alignment horizontal="center" vertical="center"/>
    </xf>
    <xf numFmtId="164" fontId="2" fillId="0" borderId="27" xfId="1" applyNumberFormat="1" applyFont="1" applyFill="1" applyBorder="1" applyAlignment="1" applyProtection="1">
      <alignment horizontal="center" vertical="center"/>
    </xf>
    <xf numFmtId="164" fontId="2" fillId="0" borderId="8" xfId="1" applyNumberFormat="1" applyFont="1" applyFill="1" applyBorder="1" applyAlignment="1" applyProtection="1">
      <alignment horizontal="center" vertical="center"/>
    </xf>
    <xf numFmtId="0" fontId="2" fillId="0" borderId="0" xfId="1" applyFont="1" applyBorder="1" applyAlignment="1" applyProtection="1">
      <alignment horizontal="center" vertical="center" wrapText="1"/>
    </xf>
    <xf numFmtId="0" fontId="2" fillId="0" borderId="47" xfId="1" applyFont="1" applyBorder="1" applyAlignment="1" applyProtection="1">
      <alignment horizontal="center" vertical="center"/>
    </xf>
    <xf numFmtId="0" fontId="2" fillId="0" borderId="54" xfId="1" applyFont="1" applyBorder="1" applyAlignment="1" applyProtection="1">
      <alignment horizontal="center" vertical="center"/>
    </xf>
    <xf numFmtId="0" fontId="2" fillId="0" borderId="46" xfId="1" applyFont="1" applyBorder="1" applyAlignment="1" applyProtection="1">
      <alignment horizontal="center" vertical="center"/>
    </xf>
    <xf numFmtId="0" fontId="2" fillId="0" borderId="0" xfId="1" applyFont="1" applyFill="1" applyBorder="1" applyAlignment="1" applyProtection="1">
      <alignment horizontal="center" vertical="center" wrapText="1"/>
      <protection locked="0"/>
    </xf>
  </cellXfs>
  <cellStyles count="5">
    <cellStyle name="Normal" xfId="0" builtinId="0"/>
    <cellStyle name="Normal 2" xfId="1"/>
    <cellStyle name="Normal 2 2" xfId="3"/>
    <cellStyle name="Normal 4" xfId="4"/>
    <cellStyle name="Normal_Sheet1" xfId="2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IN"/>
              <a:t>Cholesterol</a:t>
            </a:r>
          </a:p>
        </c:rich>
      </c:tx>
      <c:layout>
        <c:manualLayout>
          <c:xMode val="edge"/>
          <c:yMode val="edge"/>
          <c:x val="5.6717349986424109E-2"/>
          <c:y val="1.694981835879799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5955246740537851"/>
          <c:y val="0.2416315682411308"/>
          <c:w val="0.76049513756512632"/>
          <c:h val="0.53822082145671502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linear"/>
            <c:dispRSqr val="1"/>
            <c:dispEq val="1"/>
            <c:trendlineLbl>
              <c:layout>
                <c:manualLayout>
                  <c:x val="0.17117898255043845"/>
                  <c:y val="-0.17951905001951063"/>
                </c:manualLayout>
              </c:layout>
              <c:numFmt formatCode="#,##0.000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</c:trendlineLbl>
          </c:trendline>
          <c:xVal>
            <c:numRef>
              <c:f>'1'!$D$27:$D$29</c:f>
              <c:numCache>
                <c:formatCode>0.000</c:formatCode>
                <c:ptCount val="3"/>
                <c:pt idx="0">
                  <c:v>2.8000000000000001E-2</c:v>
                </c:pt>
                <c:pt idx="1">
                  <c:v>3.5000000000000003E-2</c:v>
                </c:pt>
                <c:pt idx="2">
                  <c:v>4.1000000000000002E-2</c:v>
                </c:pt>
              </c:numCache>
            </c:numRef>
          </c:xVal>
          <c:yVal>
            <c:numRef>
              <c:f>'1'!$E$27:$E$29</c:f>
              <c:numCache>
                <c:formatCode>0.000</c:formatCode>
                <c:ptCount val="3"/>
                <c:pt idx="0">
                  <c:v>10.978999999999999</c:v>
                </c:pt>
                <c:pt idx="1">
                  <c:v>13.803000000000001</c:v>
                </c:pt>
                <c:pt idx="2">
                  <c:v>16.317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9C5-474C-8010-AB6808071B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3915320"/>
        <c:axId val="173837408"/>
      </c:scatterChart>
      <c:valAx>
        <c:axId val="1739153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IN"/>
                  <a:t>Concentration in mg/mL</a:t>
                </a:r>
              </a:p>
            </c:rich>
          </c:tx>
          <c:layout>
            <c:manualLayout>
              <c:xMode val="edge"/>
              <c:yMode val="edge"/>
              <c:x val="0.24316167375629771"/>
              <c:y val="0.91357633275972949"/>
            </c:manualLayout>
          </c:layout>
          <c:overlay val="0"/>
          <c:spPr>
            <a:noFill/>
            <a:ln w="25400">
              <a:noFill/>
            </a:ln>
          </c:spPr>
        </c:title>
        <c:numFmt formatCode="0.0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3837408"/>
        <c:crosses val="autoZero"/>
        <c:crossBetween val="midCat"/>
      </c:valAx>
      <c:valAx>
        <c:axId val="17383740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IN"/>
                  <a:t>Area</a:t>
                </a:r>
              </a:p>
            </c:rich>
          </c:tx>
          <c:layout>
            <c:manualLayout>
              <c:xMode val="edge"/>
              <c:yMode val="edge"/>
              <c:x val="1.4134009110930101E-3"/>
              <c:y val="0.35100554483669671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3915320"/>
        <c:crosses val="autoZero"/>
        <c:crossBetween val="midCat"/>
      </c:valAx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1255" r="0.75000000000001255" t="1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IN"/>
              <a:t>Cholesterol</a:t>
            </a:r>
          </a:p>
        </c:rich>
      </c:tx>
      <c:layout>
        <c:manualLayout>
          <c:xMode val="edge"/>
          <c:yMode val="edge"/>
          <c:x val="1.7837110462715123E-3"/>
          <c:y val="3.6900815029700649E-3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5749678001314588"/>
          <c:y val="0.1805057333486105"/>
          <c:w val="0.77331099559347405"/>
          <c:h val="0.6064992640513317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poly"/>
            <c:order val="2"/>
            <c:dispRSqr val="1"/>
            <c:dispEq val="1"/>
            <c:trendlineLbl>
              <c:layout>
                <c:manualLayout>
                  <c:x val="6.3214932205671884E-2"/>
                  <c:y val="-0.15049514309104145"/>
                </c:manualLayout>
              </c:layout>
              <c:numFmt formatCode="#,##0.000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</c:trendlineLbl>
          </c:trendline>
          <c:xVal>
            <c:numRef>
              <c:f>'1'!$D$27:$D$30</c:f>
              <c:numCache>
                <c:formatCode>0.000</c:formatCode>
                <c:ptCount val="4"/>
                <c:pt idx="0">
                  <c:v>2.8000000000000001E-2</c:v>
                </c:pt>
                <c:pt idx="1">
                  <c:v>3.5000000000000003E-2</c:v>
                </c:pt>
                <c:pt idx="2">
                  <c:v>4.1000000000000002E-2</c:v>
                </c:pt>
                <c:pt idx="3">
                  <c:v>0</c:v>
                </c:pt>
              </c:numCache>
            </c:numRef>
          </c:xVal>
          <c:yVal>
            <c:numRef>
              <c:f>'1'!$E$27:$E$30</c:f>
              <c:numCache>
                <c:formatCode>0.000</c:formatCode>
                <c:ptCount val="4"/>
                <c:pt idx="0">
                  <c:v>10.978999999999999</c:v>
                </c:pt>
                <c:pt idx="1">
                  <c:v>13.803000000000001</c:v>
                </c:pt>
                <c:pt idx="2">
                  <c:v>16.317</c:v>
                </c:pt>
                <c:pt idx="3" formatCode="General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E64-413A-A9B2-9E6A1D7545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3781120"/>
        <c:axId val="174418104"/>
      </c:scatterChart>
      <c:valAx>
        <c:axId val="1737811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IN"/>
                  <a:t>Concentration in mg/mL</a:t>
                </a:r>
              </a:p>
            </c:rich>
          </c:tx>
          <c:layout>
            <c:manualLayout>
              <c:xMode val="edge"/>
              <c:yMode val="edge"/>
              <c:x val="0.1496438706582997"/>
              <c:y val="0.87364794861169182"/>
            </c:manualLayout>
          </c:layout>
          <c:overlay val="0"/>
          <c:spPr>
            <a:noFill/>
            <a:ln w="25400">
              <a:noFill/>
            </a:ln>
          </c:spPr>
        </c:title>
        <c:numFmt formatCode="0.0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4418104"/>
        <c:crosses val="autoZero"/>
        <c:crossBetween val="midCat"/>
      </c:valAx>
      <c:valAx>
        <c:axId val="17441810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IN"/>
                  <a:t>Area</a:t>
                </a:r>
              </a:p>
            </c:rich>
          </c:tx>
          <c:layout>
            <c:manualLayout>
              <c:xMode val="edge"/>
              <c:yMode val="edge"/>
              <c:x val="1.3178517659911801E-2"/>
              <c:y val="0.36918186213565857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3781120"/>
        <c:crosses val="autoZero"/>
        <c:crossBetween val="midCat"/>
      </c:valAx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988" r="0.75000000000000988" t="1" header="0.5" footer="0.5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IN"/>
              <a:t>MPEG 2000</a:t>
            </a:r>
          </a:p>
        </c:rich>
      </c:tx>
      <c:layout>
        <c:manualLayout>
          <c:xMode val="edge"/>
          <c:yMode val="edge"/>
          <c:x val="8.7147880888148032E-4"/>
          <c:y val="1.88986159338778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2685236466553788"/>
          <c:y val="0.18656750409482944"/>
          <c:w val="0.70833493456790397"/>
          <c:h val="0.59328466302155547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linear"/>
            <c:dispRSqr val="1"/>
            <c:dispEq val="1"/>
            <c:trendlineLbl>
              <c:layout>
                <c:manualLayout>
                  <c:x val="-8.3319126393604476E-2"/>
                  <c:y val="-0.25915749892965506"/>
                </c:manualLayout>
              </c:layout>
              <c:numFmt formatCode="#,##0.000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1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</c:trendlineLbl>
          </c:trendline>
          <c:xVal>
            <c:numRef>
              <c:f>'1'!$D$39:$D$41</c:f>
              <c:numCache>
                <c:formatCode>0.000</c:formatCode>
                <c:ptCount val="3"/>
                <c:pt idx="0">
                  <c:v>2.7E-2</c:v>
                </c:pt>
                <c:pt idx="1">
                  <c:v>3.4000000000000002E-2</c:v>
                </c:pt>
                <c:pt idx="2">
                  <c:v>4.1000000000000002E-2</c:v>
                </c:pt>
              </c:numCache>
            </c:numRef>
          </c:xVal>
          <c:yVal>
            <c:numRef>
              <c:f>'1'!$E$39:$E$41</c:f>
              <c:numCache>
                <c:formatCode>0.000</c:formatCode>
                <c:ptCount val="3"/>
                <c:pt idx="0">
                  <c:v>12.988</c:v>
                </c:pt>
                <c:pt idx="1">
                  <c:v>16.585000000000001</c:v>
                </c:pt>
                <c:pt idx="2">
                  <c:v>19.481999999999999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516-4A0E-A21A-3957092804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4025608"/>
        <c:axId val="174478672"/>
      </c:scatterChart>
      <c:valAx>
        <c:axId val="1740256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IN"/>
                  <a:t>Concentration in mg/mL</a:t>
                </a:r>
              </a:p>
            </c:rich>
          </c:tx>
          <c:layout>
            <c:manualLayout>
              <c:xMode val="edge"/>
              <c:yMode val="edge"/>
              <c:x val="0.32407460209535444"/>
              <c:y val="0.8768670220570256"/>
            </c:manualLayout>
          </c:layout>
          <c:overlay val="0"/>
          <c:spPr>
            <a:noFill/>
            <a:ln w="25400">
              <a:noFill/>
            </a:ln>
          </c:spPr>
        </c:title>
        <c:numFmt formatCode="0.0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4478672"/>
        <c:crosses val="autoZero"/>
        <c:crossBetween val="midCat"/>
      </c:valAx>
      <c:valAx>
        <c:axId val="17447867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IN"/>
                  <a:t>Area</a:t>
                </a:r>
              </a:p>
            </c:rich>
          </c:tx>
          <c:layout>
            <c:manualLayout>
              <c:xMode val="edge"/>
              <c:yMode val="edge"/>
              <c:x val="5.4584402576418924E-3"/>
              <c:y val="0.35100568950620331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4025608"/>
        <c:crosses val="autoZero"/>
        <c:crossBetween val="midCat"/>
      </c:valAx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1277" r="0.75000000000001277" t="1" header="0.5" footer="0.5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IN"/>
              <a:t>MPEG 2000</a:t>
            </a:r>
          </a:p>
        </c:rich>
      </c:tx>
      <c:layout>
        <c:manualLayout>
          <c:xMode val="edge"/>
          <c:yMode val="edge"/>
          <c:x val="2.3856621148196271E-3"/>
          <c:y val="7.474878373218474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1377697003155852"/>
          <c:y val="0.1805057333486105"/>
          <c:w val="0.71971579910624706"/>
          <c:h val="0.6064992640513317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poly"/>
            <c:order val="2"/>
            <c:dispRSqr val="1"/>
            <c:dispEq val="1"/>
            <c:trendlineLbl>
              <c:layout>
                <c:manualLayout>
                  <c:x val="0.12074146520949247"/>
                  <c:y val="-0.20761124559135327"/>
                </c:manualLayout>
              </c:layout>
              <c:numFmt formatCode="#,##0.000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1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</c:trendlineLbl>
          </c:trendline>
          <c:xVal>
            <c:numRef>
              <c:f>'1'!$D$39:$D$42</c:f>
              <c:numCache>
                <c:formatCode>0.000</c:formatCode>
                <c:ptCount val="4"/>
                <c:pt idx="0">
                  <c:v>2.7E-2</c:v>
                </c:pt>
                <c:pt idx="1">
                  <c:v>3.4000000000000002E-2</c:v>
                </c:pt>
                <c:pt idx="2">
                  <c:v>4.1000000000000002E-2</c:v>
                </c:pt>
                <c:pt idx="3">
                  <c:v>0</c:v>
                </c:pt>
              </c:numCache>
            </c:numRef>
          </c:xVal>
          <c:yVal>
            <c:numRef>
              <c:f>'1'!$E$39:$E$42</c:f>
              <c:numCache>
                <c:formatCode>0.000</c:formatCode>
                <c:ptCount val="4"/>
                <c:pt idx="0">
                  <c:v>12.988</c:v>
                </c:pt>
                <c:pt idx="1">
                  <c:v>16.585000000000001</c:v>
                </c:pt>
                <c:pt idx="2">
                  <c:v>19.481999999999999</c:v>
                </c:pt>
                <c:pt idx="3" formatCode="General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0AA-4DA0-BFA8-810660ABA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4532320"/>
        <c:axId val="174532704"/>
      </c:scatterChart>
      <c:valAx>
        <c:axId val="1745323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IN"/>
                  <a:t>Concentration in mg/mL</a:t>
                </a:r>
              </a:p>
            </c:rich>
          </c:tx>
          <c:layout>
            <c:manualLayout>
              <c:xMode val="edge"/>
              <c:yMode val="edge"/>
              <c:x val="0.3969893866094561"/>
              <c:y val="0.89649540682414763"/>
            </c:manualLayout>
          </c:layout>
          <c:overlay val="0"/>
          <c:spPr>
            <a:noFill/>
            <a:ln w="25400">
              <a:noFill/>
            </a:ln>
          </c:spPr>
        </c:title>
        <c:numFmt formatCode="0.0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4532704"/>
        <c:crosses val="autoZero"/>
        <c:crossBetween val="midCat"/>
      </c:valAx>
      <c:valAx>
        <c:axId val="17453270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IN"/>
                  <a:t>Area</a:t>
                </a:r>
              </a:p>
            </c:rich>
          </c:tx>
          <c:layout>
            <c:manualLayout>
              <c:xMode val="edge"/>
              <c:yMode val="edge"/>
              <c:x val="5.4587778070157682E-3"/>
              <c:y val="0.35100590551181132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4532320"/>
        <c:crosses val="autoZero"/>
        <c:crossBetween val="midCat"/>
      </c:valAx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101" r="0.7500000000000101" t="1" header="0.5" footer="0.5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IN"/>
              <a:t>SPC-3</a:t>
            </a:r>
          </a:p>
        </c:rich>
      </c:tx>
      <c:layout>
        <c:manualLayout>
          <c:xMode val="edge"/>
          <c:yMode val="edge"/>
          <c:x val="1.416773165134463E-3"/>
          <c:y val="3.135370790515618E-3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7664566696115935"/>
          <c:y val="0.17596962629340065"/>
          <c:w val="0.73586809615820403"/>
          <c:h val="0.68814839684404905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poly"/>
            <c:order val="2"/>
            <c:dispRSqr val="1"/>
            <c:dispEq val="1"/>
            <c:trendlineLbl>
              <c:layout>
                <c:manualLayout>
                  <c:x val="0.17112149875902649"/>
                  <c:y val="-0.18504173527300269"/>
                </c:manualLayout>
              </c:layout>
              <c:numFmt formatCode="#,##0.000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</c:trendlineLbl>
          </c:trendline>
          <c:xVal>
            <c:numRef>
              <c:f>'1'!$D$51:$D$54</c:f>
              <c:numCache>
                <c:formatCode>0.000</c:formatCode>
                <c:ptCount val="4"/>
                <c:pt idx="0">
                  <c:v>7.8E-2</c:v>
                </c:pt>
                <c:pt idx="1">
                  <c:v>9.8000000000000004E-2</c:v>
                </c:pt>
                <c:pt idx="2">
                  <c:v>0.11700000000000001</c:v>
                </c:pt>
                <c:pt idx="3">
                  <c:v>0</c:v>
                </c:pt>
              </c:numCache>
            </c:numRef>
          </c:xVal>
          <c:yVal>
            <c:numRef>
              <c:f>'1'!$G$51:$G$54</c:f>
              <c:numCache>
                <c:formatCode>0.000</c:formatCode>
                <c:ptCount val="4"/>
                <c:pt idx="0">
                  <c:v>34.585999999999999</c:v>
                </c:pt>
                <c:pt idx="1">
                  <c:v>43.274000000000001</c:v>
                </c:pt>
                <c:pt idx="2">
                  <c:v>52.289000000000001</c:v>
                </c:pt>
                <c:pt idx="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826-44AE-96D9-AE3C26F756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4901008"/>
        <c:axId val="174901392"/>
      </c:scatterChart>
      <c:valAx>
        <c:axId val="1749010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IN"/>
                  <a:t>Concentration in mg/mL</a:t>
                </a:r>
              </a:p>
            </c:rich>
          </c:tx>
          <c:layout>
            <c:manualLayout>
              <c:xMode val="edge"/>
              <c:yMode val="edge"/>
              <c:x val="0.2965254361768081"/>
              <c:y val="0.893667025026877"/>
            </c:manualLayout>
          </c:layout>
          <c:overlay val="0"/>
          <c:spPr>
            <a:noFill/>
            <a:ln w="25400">
              <a:noFill/>
            </a:ln>
          </c:spPr>
        </c:title>
        <c:numFmt formatCode="0.000" sourceLinked="1"/>
        <c:majorTickMark val="out"/>
        <c:minorTickMark val="none"/>
        <c:tickLblPos val="nextTo"/>
        <c:spPr>
          <a:ln w="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4901392"/>
        <c:crosses val="autoZero"/>
        <c:crossBetween val="midCat"/>
      </c:valAx>
      <c:valAx>
        <c:axId val="17490139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IN"/>
                  <a:t>Area</a:t>
                </a:r>
              </a:p>
            </c:rich>
          </c:tx>
          <c:layout>
            <c:manualLayout>
              <c:xMode val="edge"/>
              <c:yMode val="edge"/>
              <c:x val="5.4587679157907121E-3"/>
              <c:y val="0.3510056497175143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4901008"/>
        <c:crosses val="autoZero"/>
        <c:crossBetween val="midCat"/>
      </c:valAx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1033" r="0.75000000000001033" t="1" header="0.5" footer="0.5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IN"/>
              <a:t>SPC-3</a:t>
            </a:r>
          </a:p>
        </c:rich>
      </c:tx>
      <c:layout>
        <c:manualLayout>
          <c:xMode val="edge"/>
          <c:yMode val="edge"/>
          <c:x val="5.6717547178111123E-2"/>
          <c:y val="3.673683646687051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1272404588227145"/>
          <c:y val="0.18656750409482944"/>
          <c:w val="0.71134089209785623"/>
          <c:h val="0.59328466302155547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linear"/>
            <c:dispRSqr val="1"/>
            <c:dispEq val="1"/>
            <c:trendlineLbl>
              <c:layout>
                <c:manualLayout>
                  <c:x val="5.2417435550617522E-2"/>
                  <c:y val="-0.60291044322903087"/>
                </c:manualLayout>
              </c:layout>
              <c:numFmt formatCode="#,##0.0000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</c:trendlineLbl>
          </c:trendline>
          <c:xVal>
            <c:numRef>
              <c:f>'1'!$D$51:$D$53</c:f>
              <c:numCache>
                <c:formatCode>0.000</c:formatCode>
                <c:ptCount val="3"/>
                <c:pt idx="0">
                  <c:v>7.8E-2</c:v>
                </c:pt>
                <c:pt idx="1">
                  <c:v>9.8000000000000004E-2</c:v>
                </c:pt>
                <c:pt idx="2">
                  <c:v>0.11700000000000001</c:v>
                </c:pt>
              </c:numCache>
            </c:numRef>
          </c:xVal>
          <c:yVal>
            <c:numRef>
              <c:f>'1'!$G$51:$G$53</c:f>
              <c:numCache>
                <c:formatCode>0.000</c:formatCode>
                <c:ptCount val="3"/>
                <c:pt idx="0">
                  <c:v>34.585999999999999</c:v>
                </c:pt>
                <c:pt idx="1">
                  <c:v>43.274000000000001</c:v>
                </c:pt>
                <c:pt idx="2">
                  <c:v>52.289000000000001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C33-43A1-9F69-D9AA7DBC90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3229136"/>
        <c:axId val="173229528"/>
      </c:scatterChart>
      <c:valAx>
        <c:axId val="1732291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IN"/>
                  <a:t>Concentration in mg/mL</a:t>
                </a:r>
              </a:p>
            </c:rich>
          </c:tx>
          <c:layout>
            <c:manualLayout>
              <c:xMode val="edge"/>
              <c:yMode val="edge"/>
              <c:x val="0.32407483980703905"/>
              <c:y val="0.87686717731712105"/>
            </c:manualLayout>
          </c:layout>
          <c:overlay val="0"/>
          <c:spPr>
            <a:noFill/>
            <a:ln w="25400">
              <a:noFill/>
            </a:ln>
          </c:spPr>
        </c:title>
        <c:numFmt formatCode="0.0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3229528"/>
        <c:crosses val="autoZero"/>
        <c:crossBetween val="midCat"/>
      </c:valAx>
      <c:valAx>
        <c:axId val="17322952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IN"/>
                  <a:t>Area</a:t>
                </a:r>
              </a:p>
            </c:rich>
          </c:tx>
          <c:layout>
            <c:manualLayout>
              <c:xMode val="edge"/>
              <c:yMode val="edge"/>
              <c:x val="5.4587310664379303E-3"/>
              <c:y val="0.35100541003803093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3229136"/>
        <c:crosses val="autoZero"/>
        <c:crossBetween val="midCat"/>
      </c:valAx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1321" r="0.75000000000001321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2.png"/><Relationship Id="rId3" Type="http://schemas.openxmlformats.org/officeDocument/2006/relationships/chart" Target="../charts/chart3.xml"/><Relationship Id="rId7" Type="http://schemas.openxmlformats.org/officeDocument/2006/relationships/image" Target="../media/image1.png"/><Relationship Id="rId12" Type="http://schemas.openxmlformats.org/officeDocument/2006/relationships/image" Target="../media/image6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image" Target="../media/image5.png"/><Relationship Id="rId5" Type="http://schemas.openxmlformats.org/officeDocument/2006/relationships/chart" Target="../charts/chart5.xml"/><Relationship Id="rId10" Type="http://schemas.openxmlformats.org/officeDocument/2006/relationships/image" Target="../media/image4.png"/><Relationship Id="rId4" Type="http://schemas.openxmlformats.org/officeDocument/2006/relationships/chart" Target="../charts/chart4.xml"/><Relationship Id="rId9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276225</xdr:colOff>
      <xdr:row>22</xdr:row>
      <xdr:rowOff>219075</xdr:rowOff>
    </xdr:from>
    <xdr:to>
      <xdr:col>8</xdr:col>
      <xdr:colOff>352425</xdr:colOff>
      <xdr:row>34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466725</xdr:colOff>
      <xdr:row>22</xdr:row>
      <xdr:rowOff>200025</xdr:rowOff>
    </xdr:from>
    <xdr:to>
      <xdr:col>11</xdr:col>
      <xdr:colOff>866775</xdr:colOff>
      <xdr:row>34</xdr:row>
      <xdr:rowOff>0</xdr:rowOff>
    </xdr:to>
    <xdr:graphicFrame macro="">
      <xdr:nvGraphicFramePr>
        <xdr:cNvPr id="3" name="Chart 8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266700</xdr:colOff>
      <xdr:row>34</xdr:row>
      <xdr:rowOff>219075</xdr:rowOff>
    </xdr:from>
    <xdr:to>
      <xdr:col>8</xdr:col>
      <xdr:colOff>447675</xdr:colOff>
      <xdr:row>46</xdr:row>
      <xdr:rowOff>0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514350</xdr:colOff>
      <xdr:row>34</xdr:row>
      <xdr:rowOff>238125</xdr:rowOff>
    </xdr:from>
    <xdr:to>
      <xdr:col>11</xdr:col>
      <xdr:colOff>866775</xdr:colOff>
      <xdr:row>46</xdr:row>
      <xdr:rowOff>0</xdr:rowOff>
    </xdr:to>
    <xdr:graphicFrame macro="">
      <xdr:nvGraphicFramePr>
        <xdr:cNvPr id="5" name="Chart 8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431427</xdr:colOff>
      <xdr:row>54</xdr:row>
      <xdr:rowOff>73399</xdr:rowOff>
    </xdr:from>
    <xdr:to>
      <xdr:col>11</xdr:col>
      <xdr:colOff>907677</xdr:colOff>
      <xdr:row>65</xdr:row>
      <xdr:rowOff>138954</xdr:rowOff>
    </xdr:to>
    <xdr:graphicFrame macro="">
      <xdr:nvGraphicFramePr>
        <xdr:cNvPr id="6" name="Chart 82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</xdr:col>
      <xdr:colOff>191620</xdr:colOff>
      <xdr:row>54</xdr:row>
      <xdr:rowOff>87966</xdr:rowOff>
    </xdr:from>
    <xdr:to>
      <xdr:col>8</xdr:col>
      <xdr:colOff>363070</xdr:colOff>
      <xdr:row>65</xdr:row>
      <xdr:rowOff>143996</xdr:rowOff>
    </xdr:to>
    <xdr:graphicFrame macro="">
      <xdr:nvGraphicFramePr>
        <xdr:cNvPr id="7" name="Chart 1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0</xdr:col>
      <xdr:colOff>89647</xdr:colOff>
      <xdr:row>122</xdr:row>
      <xdr:rowOff>89648</xdr:rowOff>
    </xdr:from>
    <xdr:to>
      <xdr:col>3</xdr:col>
      <xdr:colOff>24330</xdr:colOff>
      <xdr:row>128</xdr:row>
      <xdr:rowOff>168088</xdr:rowOff>
    </xdr:to>
    <xdr:pic>
      <xdr:nvPicPr>
        <xdr:cNvPr id="1027" name="Picture 3">
          <a:extLst>
            <a:ext uri="{FF2B5EF4-FFF2-40B4-BE49-F238E27FC236}">
              <a16:creationId xmlns:a16="http://schemas.microsoft.com/office/drawing/2014/main" id="{00000000-0008-0000-0000-00000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89647" y="31936766"/>
          <a:ext cx="5165589" cy="1893793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1075764</xdr:colOff>
      <xdr:row>122</xdr:row>
      <xdr:rowOff>100853</xdr:rowOff>
    </xdr:from>
    <xdr:to>
      <xdr:col>9</xdr:col>
      <xdr:colOff>327049</xdr:colOff>
      <xdr:row>128</xdr:row>
      <xdr:rowOff>212911</xdr:rowOff>
    </xdr:to>
    <xdr:pic>
      <xdr:nvPicPr>
        <xdr:cNvPr id="1029" name="Picture 5">
          <a:extLst>
            <a:ext uri="{FF2B5EF4-FFF2-40B4-BE49-F238E27FC236}">
              <a16:creationId xmlns:a16="http://schemas.microsoft.com/office/drawing/2014/main" id="{00000000-0008-0000-0000-00000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5468470" y="31947971"/>
          <a:ext cx="5862755" cy="1927411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627530</xdr:colOff>
      <xdr:row>130</xdr:row>
      <xdr:rowOff>33618</xdr:rowOff>
    </xdr:from>
    <xdr:to>
      <xdr:col>3</xdr:col>
      <xdr:colOff>970435</xdr:colOff>
      <xdr:row>131</xdr:row>
      <xdr:rowOff>257735</xdr:rowOff>
    </xdr:to>
    <xdr:pic>
      <xdr:nvPicPr>
        <xdr:cNvPr id="1032" name="Picture 8">
          <a:extLst>
            <a:ext uri="{FF2B5EF4-FFF2-40B4-BE49-F238E27FC236}">
              <a16:creationId xmlns:a16="http://schemas.microsoft.com/office/drawing/2014/main" id="{00000000-0008-0000-0000-00000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2700618" y="34301206"/>
          <a:ext cx="2814923" cy="526676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280147</xdr:colOff>
      <xdr:row>132</xdr:row>
      <xdr:rowOff>123265</xdr:rowOff>
    </xdr:from>
    <xdr:to>
      <xdr:col>3</xdr:col>
      <xdr:colOff>1146761</xdr:colOff>
      <xdr:row>134</xdr:row>
      <xdr:rowOff>11205</xdr:rowOff>
    </xdr:to>
    <xdr:pic>
      <xdr:nvPicPr>
        <xdr:cNvPr id="1034" name="Picture 10">
          <a:extLst>
            <a:ext uri="{FF2B5EF4-FFF2-40B4-BE49-F238E27FC236}">
              <a16:creationId xmlns:a16="http://schemas.microsoft.com/office/drawing/2014/main" id="{00000000-0008-0000-0000-00000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2353235" y="34995971"/>
          <a:ext cx="3341994" cy="49305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739591</xdr:colOff>
      <xdr:row>134</xdr:row>
      <xdr:rowOff>168087</xdr:rowOff>
    </xdr:from>
    <xdr:to>
      <xdr:col>3</xdr:col>
      <xdr:colOff>1011337</xdr:colOff>
      <xdr:row>136</xdr:row>
      <xdr:rowOff>179292</xdr:rowOff>
    </xdr:to>
    <xdr:pic>
      <xdr:nvPicPr>
        <xdr:cNvPr id="1036" name="Picture 12">
          <a:extLst>
            <a:ext uri="{FF2B5EF4-FFF2-40B4-BE49-F238E27FC236}">
              <a16:creationId xmlns:a16="http://schemas.microsoft.com/office/drawing/2014/main" id="{00000000-0008-0000-0000-00000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2812679" y="35645911"/>
          <a:ext cx="2747126" cy="6163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201705</xdr:colOff>
      <xdr:row>129</xdr:row>
      <xdr:rowOff>291352</xdr:rowOff>
    </xdr:from>
    <xdr:to>
      <xdr:col>11</xdr:col>
      <xdr:colOff>265019</xdr:colOff>
      <xdr:row>136</xdr:row>
      <xdr:rowOff>232521</xdr:rowOff>
    </xdr:to>
    <xdr:pic>
      <xdr:nvPicPr>
        <xdr:cNvPr id="1044" name="Picture 20">
          <a:extLst>
            <a:ext uri="{FF2B5EF4-FFF2-40B4-BE49-F238E27FC236}">
              <a16:creationId xmlns:a16="http://schemas.microsoft.com/office/drawing/2014/main" id="{00000000-0008-0000-0000-00001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/>
        <a:srcRect/>
        <a:stretch>
          <a:fillRect/>
        </a:stretch>
      </xdr:blipFill>
      <xdr:spPr bwMode="auto">
        <a:xfrm>
          <a:off x="5759823" y="35466617"/>
          <a:ext cx="7436784" cy="2059081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T142"/>
  <sheetViews>
    <sheetView tabSelected="1" view="pageBreakPreview" topLeftCell="A127" zoomScale="85" zoomScaleNormal="100" zoomScaleSheetLayoutView="85" workbookViewId="0">
      <selection activeCell="G147" sqref="G147"/>
    </sheetView>
  </sheetViews>
  <sheetFormatPr defaultRowHeight="30" customHeight="1" x14ac:dyDescent="0.25"/>
  <cols>
    <col min="1" max="1" width="41.42578125" style="1" customWidth="1"/>
    <col min="2" max="2" width="20" style="1" customWidth="1"/>
    <col min="3" max="3" width="17.140625" style="1" customWidth="1"/>
    <col min="4" max="4" width="17.42578125" style="1" customWidth="1"/>
    <col min="5" max="5" width="18.28515625" style="1" customWidth="1"/>
    <col min="6" max="6" width="13.140625" style="1" customWidth="1"/>
    <col min="7" max="7" width="14.140625" style="1" customWidth="1"/>
    <col min="8" max="8" width="16.7109375" style="1" customWidth="1"/>
    <col min="9" max="9" width="19.42578125" style="1" customWidth="1"/>
    <col min="10" max="10" width="15.140625" style="1" customWidth="1"/>
    <col min="11" max="11" width="13.7109375" style="1" customWidth="1"/>
    <col min="12" max="12" width="15.140625" style="1" customWidth="1"/>
    <col min="13" max="215" width="9.140625" style="1"/>
    <col min="216" max="216" width="40.42578125" style="1" customWidth="1"/>
    <col min="217" max="217" width="28.140625" style="1" customWidth="1"/>
    <col min="218" max="218" width="27.85546875" style="1" customWidth="1"/>
    <col min="219" max="219" width="21" style="1" customWidth="1"/>
    <col min="220" max="220" width="26.28515625" style="1" customWidth="1"/>
    <col min="221" max="221" width="25.140625" style="1" customWidth="1"/>
    <col min="222" max="222" width="19.7109375" style="1" customWidth="1"/>
    <col min="223" max="223" width="22.42578125" style="1" customWidth="1"/>
    <col min="224" max="224" width="25.7109375" style="1" customWidth="1"/>
    <col min="225" max="225" width="20" style="1" customWidth="1"/>
    <col min="226" max="226" width="29.140625" style="1" customWidth="1"/>
    <col min="227" max="227" width="11.7109375" style="1" customWidth="1"/>
    <col min="228" max="228" width="15.140625" style="1" customWidth="1"/>
    <col min="229" max="16384" width="9.140625" style="1"/>
  </cols>
  <sheetData>
    <row r="1" spans="1:18" ht="15.75" customHeight="1" thickBot="1" x14ac:dyDescent="0.3">
      <c r="A1" s="259" t="s">
        <v>99</v>
      </c>
      <c r="B1" s="259"/>
      <c r="C1" s="259"/>
      <c r="D1" s="259"/>
      <c r="E1" s="259"/>
      <c r="F1" s="259"/>
      <c r="G1" s="259"/>
      <c r="H1" s="259"/>
      <c r="I1" s="259"/>
      <c r="J1" s="259"/>
      <c r="K1" s="259"/>
      <c r="L1" s="259"/>
    </row>
    <row r="2" spans="1:18" ht="14.25" customHeight="1" thickBot="1" x14ac:dyDescent="0.3">
      <c r="A2" s="214" t="s">
        <v>100</v>
      </c>
      <c r="B2" s="215"/>
      <c r="C2" s="215"/>
      <c r="D2" s="215"/>
      <c r="E2" s="215"/>
      <c r="F2" s="215"/>
      <c r="G2" s="215"/>
      <c r="H2" s="215"/>
      <c r="I2" s="215"/>
      <c r="J2" s="215"/>
      <c r="K2" s="215"/>
      <c r="L2" s="216"/>
    </row>
    <row r="3" spans="1:18" ht="20.100000000000001" customHeight="1" x14ac:dyDescent="0.25">
      <c r="A3" s="149" t="s">
        <v>95</v>
      </c>
      <c r="B3" s="247" t="s">
        <v>102</v>
      </c>
      <c r="C3" s="247"/>
      <c r="D3" s="247"/>
      <c r="E3" s="247"/>
      <c r="F3" s="247"/>
      <c r="G3" s="247"/>
      <c r="H3" s="247"/>
      <c r="I3" s="247"/>
      <c r="J3" s="247"/>
      <c r="K3" s="247"/>
      <c r="L3" s="248"/>
    </row>
    <row r="4" spans="1:18" ht="20.100000000000001" customHeight="1" x14ac:dyDescent="0.25">
      <c r="A4" s="85" t="s">
        <v>98</v>
      </c>
      <c r="B4" s="280">
        <v>46170</v>
      </c>
      <c r="C4" s="280"/>
      <c r="D4" s="280"/>
      <c r="E4" s="280"/>
      <c r="F4" s="280"/>
      <c r="G4" s="280"/>
      <c r="H4" s="280"/>
      <c r="I4" s="280"/>
      <c r="J4" s="280"/>
      <c r="K4" s="280"/>
      <c r="L4" s="281"/>
    </row>
    <row r="5" spans="1:18" ht="20.100000000000001" customHeight="1" x14ac:dyDescent="0.25">
      <c r="A5" s="85" t="s">
        <v>96</v>
      </c>
      <c r="B5" s="282"/>
      <c r="C5" s="282"/>
      <c r="D5" s="282"/>
      <c r="E5" s="282"/>
      <c r="F5" s="282"/>
      <c r="G5" s="282"/>
      <c r="H5" s="282"/>
      <c r="I5" s="282"/>
      <c r="J5" s="282"/>
      <c r="K5" s="282"/>
      <c r="L5" s="283"/>
    </row>
    <row r="6" spans="1:18" ht="20.100000000000001" customHeight="1" thickBot="1" x14ac:dyDescent="0.3">
      <c r="A6" s="150" t="s">
        <v>97</v>
      </c>
      <c r="B6" s="284" t="s">
        <v>101</v>
      </c>
      <c r="C6" s="285"/>
      <c r="D6" s="285"/>
      <c r="E6" s="285"/>
      <c r="F6" s="285"/>
      <c r="G6" s="285"/>
      <c r="H6" s="285"/>
      <c r="I6" s="285"/>
      <c r="J6" s="285"/>
      <c r="K6" s="285"/>
      <c r="L6" s="286"/>
    </row>
    <row r="7" spans="1:18" ht="20.100000000000001" customHeight="1" thickBot="1" x14ac:dyDescent="0.3">
      <c r="A7" s="310"/>
      <c r="B7" s="311"/>
      <c r="C7" s="311"/>
      <c r="D7" s="311"/>
      <c r="E7" s="311"/>
      <c r="F7" s="311"/>
      <c r="G7" s="311"/>
      <c r="H7" s="311"/>
      <c r="I7" s="311"/>
      <c r="J7" s="311"/>
      <c r="K7" s="311"/>
      <c r="L7" s="312"/>
    </row>
    <row r="8" spans="1:18" ht="20.100000000000001" customHeight="1" x14ac:dyDescent="0.25">
      <c r="A8" s="235" t="s">
        <v>69</v>
      </c>
      <c r="B8" s="236"/>
      <c r="C8" s="236"/>
      <c r="D8" s="236"/>
      <c r="E8" s="236"/>
      <c r="F8" s="237"/>
      <c r="G8" s="12"/>
      <c r="H8" s="238" t="s">
        <v>74</v>
      </c>
      <c r="I8" s="239"/>
      <c r="J8" s="240"/>
      <c r="K8" s="14"/>
      <c r="L8" s="11"/>
    </row>
    <row r="9" spans="1:18" ht="30" customHeight="1" x14ac:dyDescent="0.25">
      <c r="A9" s="220" t="s">
        <v>0</v>
      </c>
      <c r="B9" s="241" t="s">
        <v>1</v>
      </c>
      <c r="C9" s="243" t="s">
        <v>2</v>
      </c>
      <c r="D9" s="241" t="s">
        <v>3</v>
      </c>
      <c r="E9" s="241" t="s">
        <v>4</v>
      </c>
      <c r="F9" s="245" t="s">
        <v>70</v>
      </c>
      <c r="G9" s="10"/>
      <c r="H9" s="231" t="s">
        <v>75</v>
      </c>
      <c r="I9" s="232" t="s">
        <v>72</v>
      </c>
      <c r="J9" s="234" t="s">
        <v>73</v>
      </c>
      <c r="K9" s="14"/>
      <c r="L9" s="11"/>
      <c r="R9" s="1" t="s">
        <v>5</v>
      </c>
    </row>
    <row r="10" spans="1:18" ht="30.75" customHeight="1" x14ac:dyDescent="0.25">
      <c r="A10" s="221"/>
      <c r="B10" s="242"/>
      <c r="C10" s="244"/>
      <c r="D10" s="242"/>
      <c r="E10" s="242"/>
      <c r="F10" s="246"/>
      <c r="G10" s="10"/>
      <c r="H10" s="231"/>
      <c r="I10" s="233"/>
      <c r="J10" s="234"/>
      <c r="K10" s="14"/>
      <c r="L10" s="11"/>
    </row>
    <row r="11" spans="1:18" ht="31.5" customHeight="1" x14ac:dyDescent="0.25">
      <c r="A11" s="141" t="s">
        <v>6</v>
      </c>
      <c r="B11" s="16" t="s">
        <v>103</v>
      </c>
      <c r="C11" s="147">
        <v>99.68</v>
      </c>
      <c r="D11" s="17">
        <v>34.659999999999997</v>
      </c>
      <c r="E11" s="217">
        <v>100</v>
      </c>
      <c r="F11" s="164">
        <v>3.19</v>
      </c>
      <c r="G11" s="10"/>
      <c r="H11" s="171" t="s">
        <v>76</v>
      </c>
      <c r="I11" s="143">
        <v>1.6</v>
      </c>
      <c r="J11" s="172">
        <v>20</v>
      </c>
      <c r="K11" s="14"/>
      <c r="L11" s="11"/>
    </row>
    <row r="12" spans="1:18" ht="41.25" customHeight="1" x14ac:dyDescent="0.25">
      <c r="A12" s="141" t="s">
        <v>105</v>
      </c>
      <c r="B12" s="18" t="s">
        <v>106</v>
      </c>
      <c r="C12" s="147">
        <v>98.3</v>
      </c>
      <c r="D12" s="17">
        <v>34.619999999999997</v>
      </c>
      <c r="E12" s="218"/>
      <c r="F12" s="165">
        <v>3.19</v>
      </c>
      <c r="G12" s="10"/>
      <c r="H12" s="171" t="s">
        <v>77</v>
      </c>
      <c r="I12" s="143">
        <v>2</v>
      </c>
      <c r="J12" s="172">
        <v>20</v>
      </c>
      <c r="K12" s="14"/>
      <c r="L12" s="11"/>
    </row>
    <row r="13" spans="1:18" ht="35.25" customHeight="1" thickBot="1" x14ac:dyDescent="0.3">
      <c r="A13" s="166" t="s">
        <v>7</v>
      </c>
      <c r="B13" s="167" t="s">
        <v>104</v>
      </c>
      <c r="C13" s="168">
        <v>100</v>
      </c>
      <c r="D13" s="169">
        <v>97.52</v>
      </c>
      <c r="E13" s="219"/>
      <c r="F13" s="170">
        <v>9.58</v>
      </c>
      <c r="G13" s="10"/>
      <c r="H13" s="173" t="s">
        <v>78</v>
      </c>
      <c r="I13" s="174">
        <v>2.4</v>
      </c>
      <c r="J13" s="175">
        <v>20</v>
      </c>
      <c r="K13" s="14"/>
      <c r="L13" s="11"/>
    </row>
    <row r="14" spans="1:18" ht="20.100000000000001" customHeight="1" thickBot="1" x14ac:dyDescent="0.3">
      <c r="A14" s="20"/>
      <c r="B14" s="21"/>
      <c r="C14" s="22"/>
      <c r="D14" s="63"/>
      <c r="E14" s="63"/>
      <c r="F14" s="23"/>
      <c r="G14" s="19"/>
      <c r="H14" s="19"/>
      <c r="I14" s="19"/>
      <c r="J14" s="19"/>
      <c r="K14" s="14"/>
      <c r="L14" s="11"/>
    </row>
    <row r="15" spans="1:18" ht="20.100000000000001" customHeight="1" x14ac:dyDescent="0.25">
      <c r="A15" s="228" t="s">
        <v>71</v>
      </c>
      <c r="B15" s="229"/>
      <c r="C15" s="229"/>
      <c r="D15" s="229"/>
      <c r="E15" s="229"/>
      <c r="F15" s="229"/>
      <c r="G15" s="229"/>
      <c r="H15" s="229"/>
      <c r="I15" s="230"/>
      <c r="J15" s="12"/>
      <c r="K15" s="19"/>
      <c r="L15" s="11"/>
    </row>
    <row r="16" spans="1:18" ht="20.100000000000001" customHeight="1" x14ac:dyDescent="0.25">
      <c r="A16" s="24" t="s">
        <v>8</v>
      </c>
      <c r="B16" s="25" t="s">
        <v>9</v>
      </c>
      <c r="C16" s="25" t="s">
        <v>10</v>
      </c>
      <c r="D16" s="25" t="s">
        <v>11</v>
      </c>
      <c r="E16" s="25" t="s">
        <v>12</v>
      </c>
      <c r="F16" s="25" t="s">
        <v>13</v>
      </c>
      <c r="G16" s="151" t="s">
        <v>14</v>
      </c>
      <c r="H16" s="151" t="s">
        <v>15</v>
      </c>
      <c r="I16" s="153" t="s">
        <v>16</v>
      </c>
      <c r="J16" s="10"/>
      <c r="K16" s="10"/>
      <c r="L16" s="11"/>
    </row>
    <row r="17" spans="1:12" ht="20.100000000000001" customHeight="1" x14ac:dyDescent="0.25">
      <c r="A17" s="24" t="s">
        <v>17</v>
      </c>
      <c r="B17" s="26">
        <v>13.817</v>
      </c>
      <c r="C17" s="26">
        <v>13.891999999999999</v>
      </c>
      <c r="D17" s="26">
        <v>13.849</v>
      </c>
      <c r="E17" s="26">
        <v>14.000999999999999</v>
      </c>
      <c r="F17" s="26">
        <v>13.752000000000001</v>
      </c>
      <c r="G17" s="27">
        <f>AVERAGE(B17:F17)</f>
        <v>13.862199999999998</v>
      </c>
      <c r="H17" s="28">
        <f>ROUND(STDEV(B17:F17),5)</f>
        <v>9.289E-2</v>
      </c>
      <c r="I17" s="176">
        <f>ROUND(H17/G17*100,2)</f>
        <v>0.67</v>
      </c>
      <c r="J17" s="10"/>
      <c r="K17" s="10"/>
      <c r="L17" s="11"/>
    </row>
    <row r="18" spans="1:12" ht="20.100000000000001" customHeight="1" x14ac:dyDescent="0.25">
      <c r="A18" s="24" t="s">
        <v>18</v>
      </c>
      <c r="B18" s="26">
        <v>17.378</v>
      </c>
      <c r="C18" s="26">
        <v>17.579000000000001</v>
      </c>
      <c r="D18" s="26">
        <v>17.045000000000002</v>
      </c>
      <c r="E18" s="26">
        <v>17.390999999999998</v>
      </c>
      <c r="F18" s="26">
        <v>17.177</v>
      </c>
      <c r="G18" s="27">
        <f>AVERAGE(B18:F18)</f>
        <v>17.314</v>
      </c>
      <c r="H18" s="28">
        <f>ROUND(STDEV(B18:F18),5)</f>
        <v>0.20699000000000001</v>
      </c>
      <c r="I18" s="176">
        <f>ROUND(H18/G18*100,2)</f>
        <v>1.2</v>
      </c>
      <c r="J18" s="10"/>
      <c r="K18" s="10"/>
      <c r="L18" s="11"/>
    </row>
    <row r="19" spans="1:12" ht="20.100000000000001" customHeight="1" x14ac:dyDescent="0.25">
      <c r="A19" s="24" t="s">
        <v>19</v>
      </c>
      <c r="B19" s="26">
        <v>10.618</v>
      </c>
      <c r="C19" s="26">
        <v>10.587</v>
      </c>
      <c r="D19" s="26">
        <v>10.488</v>
      </c>
      <c r="E19" s="26">
        <v>10.605</v>
      </c>
      <c r="F19" s="26">
        <v>10.766</v>
      </c>
      <c r="G19" s="222" t="s">
        <v>20</v>
      </c>
      <c r="H19" s="223"/>
      <c r="I19" s="224"/>
      <c r="J19" s="10"/>
      <c r="K19" s="10"/>
      <c r="L19" s="11"/>
    </row>
    <row r="20" spans="1:12" ht="20.100000000000001" customHeight="1" x14ac:dyDescent="0.25">
      <c r="A20" s="24" t="s">
        <v>21</v>
      </c>
      <c r="B20" s="26">
        <v>32.911000000000001</v>
      </c>
      <c r="C20" s="26">
        <v>32.813000000000002</v>
      </c>
      <c r="D20" s="26">
        <v>32.686999999999998</v>
      </c>
      <c r="E20" s="26">
        <v>32.78</v>
      </c>
      <c r="F20" s="26">
        <v>32.936999999999998</v>
      </c>
      <c r="G20" s="225"/>
      <c r="H20" s="226"/>
      <c r="I20" s="227"/>
      <c r="J20" s="10"/>
      <c r="K20" s="10"/>
      <c r="L20" s="11"/>
    </row>
    <row r="21" spans="1:12" ht="20.25" customHeight="1" x14ac:dyDescent="0.25">
      <c r="A21" s="24" t="s">
        <v>22</v>
      </c>
      <c r="B21" s="29">
        <f>ROUND(SUM(B19:B20),3)</f>
        <v>43.529000000000003</v>
      </c>
      <c r="C21" s="29">
        <f>ROUND(SUM(C19:C20),3)</f>
        <v>43.4</v>
      </c>
      <c r="D21" s="29">
        <f>ROUND(SUM(D19:D20),3)</f>
        <v>43.174999999999997</v>
      </c>
      <c r="E21" s="29">
        <f>ROUND(SUM(E19:E20),3)</f>
        <v>43.384999999999998</v>
      </c>
      <c r="F21" s="29">
        <f>ROUND(SUM(F19:F20),3)</f>
        <v>43.703000000000003</v>
      </c>
      <c r="G21" s="27">
        <f>AVERAGE(B21:F21)</f>
        <v>43.438399999999994</v>
      </c>
      <c r="H21" s="28">
        <f>ROUND(STDEV(B21:F21),5)</f>
        <v>0.19489000000000001</v>
      </c>
      <c r="I21" s="176">
        <f>ROUND(H21/G21*100,2)</f>
        <v>0.45</v>
      </c>
      <c r="J21" s="10"/>
      <c r="K21" s="10"/>
      <c r="L21" s="11"/>
    </row>
    <row r="22" spans="1:12" ht="20.100000000000001" customHeight="1" thickBot="1" x14ac:dyDescent="0.3">
      <c r="A22" s="155"/>
      <c r="B22" s="6"/>
      <c r="C22" s="8"/>
      <c r="D22" s="6"/>
      <c r="E22" s="6"/>
      <c r="F22" s="6"/>
      <c r="G22" s="177"/>
      <c r="H22" s="178"/>
      <c r="I22" s="179"/>
      <c r="J22" s="10"/>
      <c r="K22" s="10"/>
      <c r="L22" s="11"/>
    </row>
    <row r="23" spans="1:12" ht="20.100000000000001" customHeight="1" x14ac:dyDescent="0.25">
      <c r="A23" s="72" t="s">
        <v>23</v>
      </c>
      <c r="B23" s="74"/>
      <c r="C23" s="74"/>
      <c r="D23" s="73"/>
      <c r="E23" s="75"/>
      <c r="F23" s="34"/>
      <c r="G23" s="34"/>
      <c r="H23" s="3"/>
      <c r="I23" s="3"/>
      <c r="J23" s="36"/>
      <c r="K23" s="36"/>
      <c r="L23" s="11"/>
    </row>
    <row r="24" spans="1:12" ht="20.100000000000001" customHeight="1" x14ac:dyDescent="0.25">
      <c r="A24" s="252" t="s">
        <v>24</v>
      </c>
      <c r="B24" s="249" t="s">
        <v>79</v>
      </c>
      <c r="C24" s="255" t="s">
        <v>25</v>
      </c>
      <c r="D24" s="249" t="s">
        <v>26</v>
      </c>
      <c r="E24" s="234" t="s">
        <v>27</v>
      </c>
      <c r="F24" s="315"/>
      <c r="G24" s="261"/>
      <c r="H24" s="37"/>
      <c r="I24" s="37"/>
      <c r="J24" s="38"/>
      <c r="K24" s="38"/>
      <c r="L24" s="11"/>
    </row>
    <row r="25" spans="1:12" ht="20.100000000000001" customHeight="1" x14ac:dyDescent="0.25">
      <c r="A25" s="253"/>
      <c r="B25" s="250"/>
      <c r="C25" s="256"/>
      <c r="D25" s="250"/>
      <c r="E25" s="234"/>
      <c r="F25" s="315"/>
      <c r="G25" s="261"/>
      <c r="H25" s="319"/>
      <c r="I25" s="315"/>
      <c r="J25" s="39"/>
      <c r="K25" s="39"/>
      <c r="L25" s="11"/>
    </row>
    <row r="26" spans="1:12" ht="29.25" customHeight="1" x14ac:dyDescent="0.25">
      <c r="A26" s="254"/>
      <c r="B26" s="251"/>
      <c r="C26" s="257"/>
      <c r="D26" s="251"/>
      <c r="E26" s="234"/>
      <c r="F26" s="315"/>
      <c r="G26" s="261"/>
      <c r="H26" s="319"/>
      <c r="I26" s="315"/>
      <c r="J26" s="37"/>
      <c r="K26" s="37"/>
      <c r="L26" s="11"/>
    </row>
    <row r="27" spans="1:12" ht="20.100000000000001" customHeight="1" x14ac:dyDescent="0.25">
      <c r="A27" s="40" t="s">
        <v>28</v>
      </c>
      <c r="B27" s="41">
        <v>1.6</v>
      </c>
      <c r="C27" s="42">
        <v>20</v>
      </c>
      <c r="D27" s="152">
        <f>ROUND($D$11/$E$11*B27/C27*$C$11/100,3)</f>
        <v>2.8000000000000001E-2</v>
      </c>
      <c r="E27" s="180">
        <v>10.978999999999999</v>
      </c>
      <c r="F27" s="44"/>
      <c r="G27" s="45"/>
      <c r="H27" s="44"/>
      <c r="I27" s="44"/>
      <c r="J27" s="44"/>
      <c r="K27" s="44"/>
      <c r="L27" s="11"/>
    </row>
    <row r="28" spans="1:12" ht="20.100000000000001" customHeight="1" x14ac:dyDescent="0.25">
      <c r="A28" s="40" t="s">
        <v>29</v>
      </c>
      <c r="B28" s="46">
        <v>2</v>
      </c>
      <c r="C28" s="42">
        <v>20</v>
      </c>
      <c r="D28" s="152">
        <f>ROUND($D$11/$E$11*B28/C28*$C$11/100,3)</f>
        <v>3.5000000000000003E-2</v>
      </c>
      <c r="E28" s="180">
        <v>13.803000000000001</v>
      </c>
      <c r="F28" s="3"/>
      <c r="G28" s="45"/>
      <c r="H28" s="44"/>
      <c r="I28" s="44"/>
      <c r="J28" s="44"/>
      <c r="K28" s="44"/>
      <c r="L28" s="11"/>
    </row>
    <row r="29" spans="1:12" ht="20.100000000000001" customHeight="1" x14ac:dyDescent="0.25">
      <c r="A29" s="40" t="s">
        <v>30</v>
      </c>
      <c r="B29" s="41">
        <v>2.4</v>
      </c>
      <c r="C29" s="42">
        <v>20</v>
      </c>
      <c r="D29" s="152">
        <f>ROUND($D$11/$E$11*B29/C29*$C$11/100,3)</f>
        <v>4.1000000000000002E-2</v>
      </c>
      <c r="E29" s="180">
        <v>16.317</v>
      </c>
      <c r="F29" s="3"/>
      <c r="G29" s="45"/>
      <c r="H29" s="44"/>
      <c r="I29" s="44"/>
      <c r="J29" s="44"/>
      <c r="K29" s="44"/>
      <c r="L29" s="11"/>
    </row>
    <row r="30" spans="1:12" ht="20.100000000000001" customHeight="1" x14ac:dyDescent="0.25">
      <c r="A30" s="40" t="s">
        <v>31</v>
      </c>
      <c r="B30" s="41">
        <v>0</v>
      </c>
      <c r="C30" s="42">
        <v>0</v>
      </c>
      <c r="D30" s="152">
        <v>0</v>
      </c>
      <c r="E30" s="181">
        <v>0</v>
      </c>
      <c r="F30" s="44"/>
      <c r="G30" s="45"/>
      <c r="H30" s="44"/>
      <c r="I30" s="44"/>
      <c r="J30" s="44"/>
      <c r="K30" s="44"/>
      <c r="L30" s="11"/>
    </row>
    <row r="31" spans="1:12" ht="20.100000000000001" customHeight="1" x14ac:dyDescent="0.25">
      <c r="A31" s="47"/>
      <c r="B31" s="10"/>
      <c r="C31" s="48"/>
      <c r="D31" s="49"/>
      <c r="E31" s="182"/>
      <c r="F31" s="44"/>
      <c r="G31" s="45"/>
      <c r="H31" s="44"/>
      <c r="I31" s="44"/>
      <c r="J31" s="44"/>
      <c r="K31" s="44"/>
      <c r="L31" s="11"/>
    </row>
    <row r="32" spans="1:12" ht="20.100000000000001" customHeight="1" x14ac:dyDescent="0.25">
      <c r="A32" s="24" t="s">
        <v>32</v>
      </c>
      <c r="B32" s="50">
        <f>ROUND(CORREL(D27:D29,E27:E29),6)</f>
        <v>0.99994099999999997</v>
      </c>
      <c r="C32" s="152" t="s">
        <v>33</v>
      </c>
      <c r="D32" s="151" t="s">
        <v>34</v>
      </c>
      <c r="E32" s="153" t="s">
        <v>35</v>
      </c>
      <c r="F32" s="44"/>
      <c r="G32" s="45"/>
      <c r="H32" s="44"/>
      <c r="I32" s="44"/>
      <c r="J32" s="44"/>
      <c r="K32" s="44"/>
      <c r="L32" s="11"/>
    </row>
    <row r="33" spans="1:15" ht="20.100000000000001" customHeight="1" thickBot="1" x14ac:dyDescent="0.3">
      <c r="A33" s="155"/>
      <c r="B33" s="183"/>
      <c r="C33" s="184">
        <v>466.72300000000001</v>
      </c>
      <c r="D33" s="184">
        <v>378.59449999999998</v>
      </c>
      <c r="E33" s="185">
        <v>6.9999999999999999E-4</v>
      </c>
      <c r="F33" s="44"/>
      <c r="G33" s="45"/>
      <c r="H33" s="44"/>
      <c r="I33" s="44"/>
      <c r="J33" s="44"/>
      <c r="K33" s="44"/>
      <c r="L33" s="11"/>
      <c r="O33" s="53"/>
    </row>
    <row r="34" spans="1:15" ht="20.100000000000001" customHeight="1" thickBot="1" x14ac:dyDescent="0.3">
      <c r="A34" s="30"/>
      <c r="B34" s="54"/>
      <c r="C34" s="48"/>
      <c r="D34" s="49"/>
      <c r="E34" s="3"/>
      <c r="F34" s="44"/>
      <c r="G34" s="45"/>
      <c r="H34" s="44"/>
      <c r="I34" s="44"/>
      <c r="J34" s="44"/>
      <c r="K34" s="44"/>
      <c r="L34" s="11"/>
    </row>
    <row r="35" spans="1:15" ht="20.100000000000001" customHeight="1" x14ac:dyDescent="0.25">
      <c r="A35" s="72" t="s">
        <v>36</v>
      </c>
      <c r="B35" s="74"/>
      <c r="C35" s="74"/>
      <c r="D35" s="73"/>
      <c r="E35" s="75"/>
      <c r="F35" s="34"/>
      <c r="G35" s="34"/>
      <c r="H35" s="44"/>
      <c r="I35" s="44"/>
      <c r="J35" s="44"/>
      <c r="K35" s="44"/>
      <c r="L35" s="11"/>
    </row>
    <row r="36" spans="1:15" ht="20.100000000000001" customHeight="1" x14ac:dyDescent="0.25">
      <c r="A36" s="252" t="s">
        <v>24</v>
      </c>
      <c r="B36" s="249" t="str">
        <f>B24</f>
        <v>Vol. of Linearity standard stock solution (mL)</v>
      </c>
      <c r="C36" s="255" t="s">
        <v>25</v>
      </c>
      <c r="D36" s="249" t="s">
        <v>37</v>
      </c>
      <c r="E36" s="234" t="s">
        <v>38</v>
      </c>
      <c r="F36" s="315"/>
      <c r="G36" s="261"/>
      <c r="H36" s="44"/>
      <c r="I36" s="44"/>
      <c r="J36" s="44"/>
      <c r="K36" s="44"/>
      <c r="L36" s="11"/>
    </row>
    <row r="37" spans="1:15" ht="20.100000000000001" customHeight="1" x14ac:dyDescent="0.25">
      <c r="A37" s="253"/>
      <c r="B37" s="250"/>
      <c r="C37" s="256"/>
      <c r="D37" s="250"/>
      <c r="E37" s="234"/>
      <c r="F37" s="315"/>
      <c r="G37" s="261"/>
      <c r="H37" s="44"/>
      <c r="I37" s="44"/>
      <c r="J37" s="44"/>
      <c r="K37" s="44"/>
      <c r="L37" s="11"/>
    </row>
    <row r="38" spans="1:15" ht="14.25" x14ac:dyDescent="0.25">
      <c r="A38" s="254"/>
      <c r="B38" s="251"/>
      <c r="C38" s="257"/>
      <c r="D38" s="251"/>
      <c r="E38" s="234"/>
      <c r="F38" s="315"/>
      <c r="G38" s="261"/>
      <c r="H38" s="44"/>
      <c r="I38" s="44"/>
      <c r="J38" s="44"/>
      <c r="K38" s="44"/>
      <c r="L38" s="11"/>
    </row>
    <row r="39" spans="1:15" ht="20.100000000000001" customHeight="1" x14ac:dyDescent="0.25">
      <c r="A39" s="40" t="s">
        <v>28</v>
      </c>
      <c r="B39" s="41">
        <v>1.6</v>
      </c>
      <c r="C39" s="42">
        <v>20</v>
      </c>
      <c r="D39" s="152">
        <f>ROUND($D$12/$E$11*B39/C39*$C$12/100,3)</f>
        <v>2.7E-2</v>
      </c>
      <c r="E39" s="203">
        <v>12.988</v>
      </c>
      <c r="F39" s="44"/>
      <c r="G39" s="45"/>
      <c r="H39" s="44"/>
      <c r="I39" s="44"/>
      <c r="J39" s="44"/>
      <c r="K39" s="44"/>
      <c r="L39" s="11"/>
    </row>
    <row r="40" spans="1:15" ht="20.100000000000001" customHeight="1" x14ac:dyDescent="0.25">
      <c r="A40" s="40" t="s">
        <v>29</v>
      </c>
      <c r="B40" s="46">
        <v>2</v>
      </c>
      <c r="C40" s="42">
        <v>20</v>
      </c>
      <c r="D40" s="152">
        <f>ROUND($D$12/$E$11*B40/C40*$C$12/100,3)</f>
        <v>3.4000000000000002E-2</v>
      </c>
      <c r="E40" s="203">
        <v>16.585000000000001</v>
      </c>
      <c r="F40" s="3"/>
      <c r="G40" s="45"/>
      <c r="H40" s="44"/>
      <c r="I40" s="44"/>
      <c r="J40" s="44"/>
      <c r="K40" s="44"/>
      <c r="L40" s="11"/>
    </row>
    <row r="41" spans="1:15" ht="20.100000000000001" customHeight="1" x14ac:dyDescent="0.25">
      <c r="A41" s="40" t="s">
        <v>30</v>
      </c>
      <c r="B41" s="41">
        <v>2.4</v>
      </c>
      <c r="C41" s="42">
        <v>20</v>
      </c>
      <c r="D41" s="152">
        <f>ROUND($D$12/$E$11*B41/C41*$C$12/100,3)</f>
        <v>4.1000000000000002E-2</v>
      </c>
      <c r="E41" s="203">
        <v>19.481999999999999</v>
      </c>
      <c r="F41" s="3"/>
      <c r="G41" s="45"/>
      <c r="H41" s="44"/>
      <c r="I41" s="44"/>
      <c r="J41" s="44"/>
      <c r="K41" s="44"/>
      <c r="L41" s="11"/>
    </row>
    <row r="42" spans="1:15" ht="20.100000000000001" customHeight="1" x14ac:dyDescent="0.25">
      <c r="A42" s="40" t="s">
        <v>31</v>
      </c>
      <c r="B42" s="41">
        <v>0</v>
      </c>
      <c r="C42" s="42">
        <v>0</v>
      </c>
      <c r="D42" s="152">
        <v>0</v>
      </c>
      <c r="E42" s="181">
        <v>0</v>
      </c>
      <c r="F42" s="44"/>
      <c r="G42" s="45"/>
      <c r="H42" s="44"/>
      <c r="I42" s="44"/>
      <c r="J42" s="44"/>
      <c r="K42" s="44"/>
      <c r="L42" s="11"/>
    </row>
    <row r="43" spans="1:15" ht="20.100000000000001" customHeight="1" x14ac:dyDescent="0.25">
      <c r="A43" s="47"/>
      <c r="B43" s="10"/>
      <c r="C43" s="48"/>
      <c r="D43" s="49"/>
      <c r="E43" s="182"/>
      <c r="F43" s="44"/>
      <c r="G43" s="45"/>
      <c r="H43" s="44"/>
      <c r="I43" s="44"/>
      <c r="J43" s="44"/>
      <c r="K43" s="44"/>
      <c r="L43" s="11"/>
    </row>
    <row r="44" spans="1:15" ht="20.100000000000001" customHeight="1" x14ac:dyDescent="0.25">
      <c r="A44" s="24" t="s">
        <v>32</v>
      </c>
      <c r="B44" s="50">
        <f>ROUND(CORREL(D39:D41,E39:E41),5)</f>
        <v>0.99807000000000001</v>
      </c>
      <c r="C44" s="152" t="s">
        <v>33</v>
      </c>
      <c r="D44" s="151" t="s">
        <v>34</v>
      </c>
      <c r="E44" s="153" t="s">
        <v>35</v>
      </c>
      <c r="F44" s="44"/>
      <c r="G44" s="45"/>
      <c r="H44" s="44"/>
      <c r="I44" s="44"/>
      <c r="J44" s="44"/>
      <c r="K44" s="44"/>
      <c r="L44" s="11"/>
    </row>
    <row r="45" spans="1:15" ht="20.100000000000001" customHeight="1" x14ac:dyDescent="0.25">
      <c r="A45" s="30"/>
      <c r="B45" s="51"/>
      <c r="C45" s="52">
        <v>-625.33090000000004</v>
      </c>
      <c r="D45" s="52">
        <v>503.1576</v>
      </c>
      <c r="E45" s="186">
        <v>-9.2999999999999992E-3</v>
      </c>
      <c r="F45" s="44"/>
      <c r="G45" s="45"/>
      <c r="H45" s="44"/>
      <c r="I45" s="44"/>
      <c r="J45" s="44"/>
      <c r="K45" s="44"/>
      <c r="L45" s="11"/>
    </row>
    <row r="46" spans="1:15" ht="20.100000000000001" customHeight="1" thickBot="1" x14ac:dyDescent="0.3">
      <c r="A46" s="155"/>
      <c r="B46" s="187"/>
      <c r="C46" s="188"/>
      <c r="D46" s="189"/>
      <c r="E46" s="190"/>
      <c r="F46" s="200"/>
      <c r="G46" s="45"/>
      <c r="H46" s="44"/>
      <c r="I46" s="44"/>
      <c r="J46" s="44"/>
      <c r="K46" s="44"/>
      <c r="L46" s="11"/>
    </row>
    <row r="47" spans="1:15" ht="20.100000000000001" customHeight="1" x14ac:dyDescent="0.25">
      <c r="A47" s="72" t="s">
        <v>39</v>
      </c>
      <c r="B47" s="74"/>
      <c r="C47" s="74"/>
      <c r="D47" s="73"/>
      <c r="E47" s="73"/>
      <c r="F47" s="34"/>
      <c r="G47" s="191"/>
      <c r="H47" s="44"/>
      <c r="I47" s="44"/>
      <c r="J47" s="44"/>
      <c r="K47" s="44"/>
      <c r="L47" s="11"/>
    </row>
    <row r="48" spans="1:15" ht="20.100000000000001" customHeight="1" x14ac:dyDescent="0.25">
      <c r="A48" s="252" t="s">
        <v>24</v>
      </c>
      <c r="B48" s="249" t="str">
        <f>B24</f>
        <v>Vol. of Linearity standard stock solution (mL)</v>
      </c>
      <c r="C48" s="255" t="s">
        <v>25</v>
      </c>
      <c r="D48" s="249" t="s">
        <v>40</v>
      </c>
      <c r="E48" s="249" t="s">
        <v>41</v>
      </c>
      <c r="F48" s="249" t="s">
        <v>42</v>
      </c>
      <c r="G48" s="316" t="s">
        <v>43</v>
      </c>
      <c r="H48" s="44"/>
      <c r="I48" s="44"/>
      <c r="J48" s="44"/>
      <c r="K48" s="44"/>
      <c r="L48" s="11"/>
    </row>
    <row r="49" spans="1:12" ht="20.100000000000001" customHeight="1" x14ac:dyDescent="0.25">
      <c r="A49" s="253"/>
      <c r="B49" s="250"/>
      <c r="C49" s="256"/>
      <c r="D49" s="250"/>
      <c r="E49" s="250"/>
      <c r="F49" s="250"/>
      <c r="G49" s="317"/>
      <c r="H49" s="44"/>
      <c r="I49" s="44"/>
      <c r="J49" s="44"/>
      <c r="K49" s="44"/>
      <c r="L49" s="11"/>
    </row>
    <row r="50" spans="1:12" ht="28.5" customHeight="1" x14ac:dyDescent="0.25">
      <c r="A50" s="254"/>
      <c r="B50" s="251"/>
      <c r="C50" s="257"/>
      <c r="D50" s="251"/>
      <c r="E50" s="251"/>
      <c r="F50" s="251"/>
      <c r="G50" s="318"/>
      <c r="H50" s="44"/>
      <c r="I50" s="55"/>
      <c r="J50" s="44"/>
      <c r="K50" s="44"/>
      <c r="L50" s="11"/>
    </row>
    <row r="51" spans="1:12" ht="20.100000000000001" customHeight="1" x14ac:dyDescent="0.25">
      <c r="A51" s="40" t="s">
        <v>28</v>
      </c>
      <c r="B51" s="41">
        <v>1.6</v>
      </c>
      <c r="C51" s="42">
        <v>20</v>
      </c>
      <c r="D51" s="152">
        <f>ROUND($D$13/$E$11*B51/C51*$C$13/100,3)</f>
        <v>7.8E-2</v>
      </c>
      <c r="E51" s="43">
        <v>8.2449999999999992</v>
      </c>
      <c r="F51" s="43">
        <v>26.341000000000001</v>
      </c>
      <c r="G51" s="192">
        <f>ROUND(SUM(E51,F51),3)</f>
        <v>34.585999999999999</v>
      </c>
      <c r="H51" s="44"/>
      <c r="I51" s="10"/>
      <c r="J51" s="44"/>
      <c r="K51" s="44"/>
      <c r="L51" s="11"/>
    </row>
    <row r="52" spans="1:12" ht="20.100000000000001" customHeight="1" x14ac:dyDescent="0.25">
      <c r="A52" s="40" t="s">
        <v>29</v>
      </c>
      <c r="B52" s="46">
        <v>2</v>
      </c>
      <c r="C52" s="42">
        <v>20</v>
      </c>
      <c r="D52" s="152">
        <f>ROUND($D$13/$E$11*B52/C52*$C$13/100,3)</f>
        <v>9.8000000000000004E-2</v>
      </c>
      <c r="E52" s="43">
        <v>10.593</v>
      </c>
      <c r="F52" s="43">
        <v>32.680999999999997</v>
      </c>
      <c r="G52" s="192">
        <f>ROUND(SUM(E52,F52),3)</f>
        <v>43.274000000000001</v>
      </c>
      <c r="H52" s="44"/>
      <c r="I52" s="44"/>
      <c r="J52" s="44"/>
      <c r="K52" s="44"/>
      <c r="L52" s="11"/>
    </row>
    <row r="53" spans="1:12" ht="20.100000000000001" customHeight="1" x14ac:dyDescent="0.25">
      <c r="A53" s="40" t="s">
        <v>30</v>
      </c>
      <c r="B53" s="41">
        <v>2.4</v>
      </c>
      <c r="C53" s="42">
        <v>20</v>
      </c>
      <c r="D53" s="152">
        <f>ROUND($D$13/$E$11*B53/C53*$C$13/100,3)</f>
        <v>0.11700000000000001</v>
      </c>
      <c r="E53" s="43">
        <v>13.092000000000001</v>
      </c>
      <c r="F53" s="43">
        <v>39.197000000000003</v>
      </c>
      <c r="G53" s="192">
        <f>ROUND(SUM(E53,F53),3)</f>
        <v>52.289000000000001</v>
      </c>
      <c r="H53" s="44"/>
      <c r="I53" s="44"/>
      <c r="J53" s="44"/>
      <c r="K53" s="44"/>
      <c r="L53" s="11"/>
    </row>
    <row r="54" spans="1:12" ht="20.100000000000001" customHeight="1" thickBot="1" x14ac:dyDescent="0.3">
      <c r="A54" s="193" t="s">
        <v>30</v>
      </c>
      <c r="B54" s="194">
        <v>0</v>
      </c>
      <c r="C54" s="195">
        <v>0</v>
      </c>
      <c r="D54" s="196">
        <v>0</v>
      </c>
      <c r="E54" s="197">
        <v>0</v>
      </c>
      <c r="F54" s="198">
        <v>0</v>
      </c>
      <c r="G54" s="199">
        <v>0</v>
      </c>
      <c r="H54" s="44"/>
      <c r="I54" s="44"/>
      <c r="J54" s="44"/>
      <c r="K54" s="44"/>
      <c r="L54" s="11"/>
    </row>
    <row r="55" spans="1:12" ht="20.100000000000001" customHeight="1" x14ac:dyDescent="0.25">
      <c r="A55" s="47"/>
      <c r="B55" s="10"/>
      <c r="C55" s="48"/>
      <c r="D55" s="57"/>
      <c r="E55" s="10"/>
      <c r="F55" s="3"/>
      <c r="G55" s="44"/>
      <c r="H55" s="44"/>
      <c r="I55" s="44"/>
      <c r="J55" s="44"/>
      <c r="K55" s="44"/>
      <c r="L55" s="11"/>
    </row>
    <row r="56" spans="1:12" ht="20.100000000000001" customHeight="1" x14ac:dyDescent="0.25">
      <c r="A56" s="24" t="s">
        <v>32</v>
      </c>
      <c r="B56" s="50">
        <f>ROUND(CORREL(D51:D53,G51:G53),5)</f>
        <v>0.99968000000000001</v>
      </c>
      <c r="C56" s="88" t="s">
        <v>33</v>
      </c>
      <c r="D56" s="87" t="s">
        <v>34</v>
      </c>
      <c r="E56" s="87" t="s">
        <v>35</v>
      </c>
      <c r="F56" s="3"/>
      <c r="G56" s="44"/>
      <c r="H56" s="44"/>
      <c r="I56" s="44"/>
      <c r="J56" s="44"/>
      <c r="K56" s="44"/>
      <c r="L56" s="11"/>
    </row>
    <row r="57" spans="1:12" s="10" customFormat="1" ht="21" customHeight="1" x14ac:dyDescent="0.25">
      <c r="A57" s="30"/>
      <c r="B57" s="51"/>
      <c r="C57" s="52">
        <v>115.3385</v>
      </c>
      <c r="D57" s="52">
        <v>432.50060000000002</v>
      </c>
      <c r="E57" s="52">
        <v>9.4999999999999998E-3</v>
      </c>
      <c r="F57" s="44"/>
      <c r="G57" s="44"/>
      <c r="H57" s="44"/>
      <c r="I57" s="44"/>
      <c r="J57" s="44"/>
      <c r="K57" s="31"/>
      <c r="L57" s="11"/>
    </row>
    <row r="58" spans="1:12" s="10" customFormat="1" ht="20.100000000000001" customHeight="1" x14ac:dyDescent="0.25">
      <c r="A58" s="30"/>
      <c r="B58" s="54"/>
      <c r="C58" s="58"/>
      <c r="D58" s="59"/>
      <c r="F58" s="37"/>
      <c r="G58" s="55"/>
      <c r="H58" s="3"/>
      <c r="I58" s="3"/>
      <c r="L58" s="11"/>
    </row>
    <row r="59" spans="1:12" s="10" customFormat="1" ht="20.100000000000001" customHeight="1" x14ac:dyDescent="0.25">
      <c r="A59" s="60"/>
      <c r="B59" s="61"/>
      <c r="C59" s="61"/>
      <c r="D59" s="39"/>
      <c r="F59" s="44"/>
      <c r="G59" s="55"/>
      <c r="H59" s="3"/>
      <c r="I59" s="3"/>
      <c r="L59" s="11"/>
    </row>
    <row r="60" spans="1:12" s="10" customFormat="1" ht="20.100000000000001" customHeight="1" x14ac:dyDescent="0.25">
      <c r="A60" s="60"/>
      <c r="B60" s="61"/>
      <c r="C60" s="61"/>
      <c r="D60" s="39"/>
      <c r="F60" s="44"/>
      <c r="G60" s="261"/>
      <c r="H60" s="3"/>
      <c r="I60" s="3"/>
      <c r="L60" s="11"/>
    </row>
    <row r="61" spans="1:12" s="10" customFormat="1" ht="20.100000000000001" customHeight="1" x14ac:dyDescent="0.25">
      <c r="A61" s="62"/>
      <c r="B61" s="48"/>
      <c r="C61" s="48"/>
      <c r="D61" s="44"/>
      <c r="F61" s="44"/>
      <c r="G61" s="262"/>
      <c r="H61" s="3"/>
      <c r="I61" s="3"/>
      <c r="L61" s="11"/>
    </row>
    <row r="62" spans="1:12" s="10" customFormat="1" ht="20.100000000000001" customHeight="1" x14ac:dyDescent="0.25">
      <c r="A62" s="62"/>
      <c r="B62" s="48"/>
      <c r="C62" s="48"/>
      <c r="D62" s="44"/>
      <c r="F62" s="44"/>
      <c r="G62" s="33"/>
      <c r="H62" s="3"/>
      <c r="I62" s="3"/>
      <c r="L62" s="11"/>
    </row>
    <row r="63" spans="1:12" s="10" customFormat="1" ht="20.100000000000001" customHeight="1" x14ac:dyDescent="0.25">
      <c r="A63" s="64"/>
      <c r="B63" s="65"/>
      <c r="C63" s="65"/>
      <c r="D63" s="57"/>
      <c r="F63" s="44"/>
      <c r="G63" s="33"/>
      <c r="H63" s="3"/>
      <c r="I63" s="3"/>
      <c r="L63" s="11"/>
    </row>
    <row r="64" spans="1:12" s="10" customFormat="1" ht="20.100000000000001" customHeight="1" x14ac:dyDescent="0.25">
      <c r="A64" s="64"/>
      <c r="B64" s="65"/>
      <c r="C64" s="66"/>
      <c r="D64" s="57"/>
      <c r="F64" s="44"/>
      <c r="G64" s="33"/>
      <c r="H64" s="3"/>
      <c r="I64" s="3"/>
      <c r="L64" s="11"/>
    </row>
    <row r="65" spans="1:12" s="10" customFormat="1" ht="20.100000000000001" customHeight="1" x14ac:dyDescent="0.25">
      <c r="A65" s="64"/>
      <c r="B65" s="65"/>
      <c r="C65" s="65"/>
      <c r="D65" s="57"/>
      <c r="F65" s="44"/>
      <c r="G65" s="33"/>
      <c r="H65" s="3"/>
      <c r="I65" s="3"/>
      <c r="L65" s="11"/>
    </row>
    <row r="66" spans="1:12" s="10" customFormat="1" ht="20.100000000000001" customHeight="1" thickBot="1" x14ac:dyDescent="0.3">
      <c r="A66" s="67"/>
      <c r="B66" s="68"/>
      <c r="C66" s="69"/>
      <c r="D66" s="57"/>
      <c r="E66" s="3"/>
      <c r="F66" s="55"/>
      <c r="G66" s="55"/>
      <c r="H66" s="3"/>
      <c r="I66" s="3"/>
      <c r="L66" s="11"/>
    </row>
    <row r="67" spans="1:12" s="10" customFormat="1" ht="20.100000000000001" customHeight="1" thickBot="1" x14ac:dyDescent="0.3">
      <c r="A67" s="270" t="s">
        <v>80</v>
      </c>
      <c r="B67" s="271"/>
      <c r="C67" s="271"/>
      <c r="D67" s="271"/>
      <c r="E67" s="271"/>
      <c r="F67" s="271"/>
      <c r="G67" s="271"/>
      <c r="H67" s="271"/>
      <c r="I67" s="271"/>
      <c r="J67" s="271"/>
      <c r="K67" s="271"/>
      <c r="L67" s="272"/>
    </row>
    <row r="68" spans="1:12" s="10" customFormat="1" ht="19.5" hidden="1" customHeight="1" x14ac:dyDescent="0.25">
      <c r="A68" s="71"/>
      <c r="B68" s="36"/>
      <c r="C68" s="36"/>
      <c r="D68" s="36"/>
      <c r="E68" s="37"/>
      <c r="F68" s="13"/>
      <c r="G68" s="37"/>
      <c r="H68" s="3"/>
      <c r="I68" s="3"/>
      <c r="L68" s="11"/>
    </row>
    <row r="69" spans="1:12" s="10" customFormat="1" ht="21" customHeight="1" x14ac:dyDescent="0.25">
      <c r="A69" s="287" t="s">
        <v>81</v>
      </c>
      <c r="B69" s="288"/>
      <c r="C69" s="205" t="s">
        <v>82</v>
      </c>
      <c r="D69" s="205"/>
      <c r="E69" s="205"/>
      <c r="F69" s="205"/>
      <c r="G69" s="205"/>
      <c r="H69" s="205"/>
      <c r="I69" s="205"/>
      <c r="J69" s="205" t="s">
        <v>91</v>
      </c>
      <c r="K69" s="205"/>
      <c r="L69" s="206"/>
    </row>
    <row r="70" spans="1:12" s="10" customFormat="1" ht="33" customHeight="1" thickBot="1" x14ac:dyDescent="0.3">
      <c r="A70" s="289"/>
      <c r="B70" s="290"/>
      <c r="C70" s="291"/>
      <c r="D70" s="291"/>
      <c r="E70" s="291"/>
      <c r="F70" s="291"/>
      <c r="G70" s="291"/>
      <c r="H70" s="291"/>
      <c r="I70" s="291"/>
      <c r="J70" s="160" t="s">
        <v>17</v>
      </c>
      <c r="K70" s="161" t="s">
        <v>87</v>
      </c>
      <c r="L70" s="162" t="s">
        <v>88</v>
      </c>
    </row>
    <row r="71" spans="1:12" s="10" customFormat="1" ht="21" customHeight="1" x14ac:dyDescent="0.25">
      <c r="A71" s="273" t="s">
        <v>83</v>
      </c>
      <c r="B71" s="274"/>
      <c r="C71" s="277" t="s">
        <v>86</v>
      </c>
      <c r="D71" s="277"/>
      <c r="E71" s="277"/>
      <c r="F71" s="277"/>
      <c r="G71" s="277"/>
      <c r="H71" s="277"/>
      <c r="I71" s="277"/>
      <c r="J71" s="158" t="s">
        <v>92</v>
      </c>
      <c r="K71" s="158" t="s">
        <v>92</v>
      </c>
      <c r="L71" s="159" t="s">
        <v>92</v>
      </c>
    </row>
    <row r="72" spans="1:12" s="10" customFormat="1" ht="21" customHeight="1" x14ac:dyDescent="0.25">
      <c r="A72" s="275" t="s">
        <v>84</v>
      </c>
      <c r="B72" s="276"/>
      <c r="C72" s="278" t="s">
        <v>89</v>
      </c>
      <c r="D72" s="276"/>
      <c r="E72" s="276"/>
      <c r="F72" s="276"/>
      <c r="G72" s="276"/>
      <c r="H72" s="276"/>
      <c r="I72" s="276"/>
      <c r="J72" s="142">
        <f>I17</f>
        <v>0.67</v>
      </c>
      <c r="K72" s="142">
        <f>I18</f>
        <v>1.2</v>
      </c>
      <c r="L72" s="144">
        <f>I21</f>
        <v>0.45</v>
      </c>
    </row>
    <row r="73" spans="1:12" s="10" customFormat="1" ht="21" customHeight="1" thickBot="1" x14ac:dyDescent="0.3">
      <c r="A73" s="212" t="s">
        <v>85</v>
      </c>
      <c r="B73" s="213"/>
      <c r="C73" s="279" t="s">
        <v>90</v>
      </c>
      <c r="D73" s="213"/>
      <c r="E73" s="213"/>
      <c r="F73" s="213"/>
      <c r="G73" s="213"/>
      <c r="H73" s="213"/>
      <c r="I73" s="213"/>
      <c r="J73" s="156">
        <f>B32</f>
        <v>0.99994099999999997</v>
      </c>
      <c r="K73" s="156">
        <f>B44</f>
        <v>0.99807000000000001</v>
      </c>
      <c r="L73" s="157">
        <f>B56</f>
        <v>0.99968000000000001</v>
      </c>
    </row>
    <row r="74" spans="1:12" s="10" customFormat="1" ht="19.5" customHeight="1" thickBot="1" x14ac:dyDescent="0.3">
      <c r="A74" s="304"/>
      <c r="B74" s="305"/>
      <c r="C74" s="305"/>
      <c r="D74" s="305"/>
      <c r="E74" s="305"/>
      <c r="F74" s="305"/>
      <c r="G74" s="305"/>
      <c r="H74" s="305"/>
      <c r="I74" s="305"/>
      <c r="J74" s="305"/>
      <c r="K74" s="305"/>
      <c r="L74" s="306"/>
    </row>
    <row r="75" spans="1:12" s="10" customFormat="1" ht="20.100000000000001" customHeight="1" thickBot="1" x14ac:dyDescent="0.3">
      <c r="A75" s="163" t="s">
        <v>44</v>
      </c>
      <c r="B75" s="307"/>
      <c r="C75" s="308"/>
      <c r="D75" s="308"/>
      <c r="E75" s="308"/>
      <c r="F75" s="308"/>
      <c r="G75" s="308"/>
      <c r="H75" s="308"/>
      <c r="I75" s="308"/>
      <c r="J75" s="308"/>
      <c r="K75" s="308"/>
      <c r="L75" s="309"/>
    </row>
    <row r="76" spans="1:12" ht="20.100000000000001" customHeight="1" x14ac:dyDescent="0.25">
      <c r="A76" s="292" t="s">
        <v>109</v>
      </c>
      <c r="B76" s="295"/>
      <c r="C76" s="295"/>
      <c r="D76" s="295"/>
      <c r="E76" s="313"/>
      <c r="F76" s="298" t="s">
        <v>46</v>
      </c>
      <c r="G76" s="299"/>
      <c r="H76" s="298"/>
      <c r="I76" s="302"/>
      <c r="J76" s="302"/>
      <c r="K76" s="302"/>
      <c r="L76" s="299"/>
    </row>
    <row r="77" spans="1:12" ht="20.100000000000001" customHeight="1" thickBot="1" x14ac:dyDescent="0.3">
      <c r="A77" s="293"/>
      <c r="B77" s="297"/>
      <c r="C77" s="297"/>
      <c r="D77" s="297"/>
      <c r="E77" s="314"/>
      <c r="F77" s="300"/>
      <c r="G77" s="301"/>
      <c r="H77" s="300"/>
      <c r="I77" s="303"/>
      <c r="J77" s="303"/>
      <c r="K77" s="303"/>
      <c r="L77" s="301"/>
    </row>
    <row r="78" spans="1:12" ht="20.100000000000001" customHeight="1" x14ac:dyDescent="0.25">
      <c r="A78" s="292" t="s">
        <v>47</v>
      </c>
      <c r="B78" s="294"/>
      <c r="C78" s="295"/>
      <c r="D78" s="295"/>
      <c r="E78" s="295"/>
      <c r="F78" s="298" t="s">
        <v>47</v>
      </c>
      <c r="G78" s="299"/>
      <c r="H78" s="298"/>
      <c r="I78" s="302"/>
      <c r="J78" s="302"/>
      <c r="K78" s="302"/>
      <c r="L78" s="299"/>
    </row>
    <row r="79" spans="1:12" ht="20.100000000000001" customHeight="1" thickBot="1" x14ac:dyDescent="0.3">
      <c r="A79" s="293"/>
      <c r="B79" s="296"/>
      <c r="C79" s="297"/>
      <c r="D79" s="297"/>
      <c r="E79" s="297"/>
      <c r="F79" s="300"/>
      <c r="G79" s="301"/>
      <c r="H79" s="300"/>
      <c r="I79" s="303"/>
      <c r="J79" s="303"/>
      <c r="K79" s="303"/>
      <c r="L79" s="301"/>
    </row>
    <row r="80" spans="1:12" ht="1.5" customHeight="1" thickBot="1" x14ac:dyDescent="0.3">
      <c r="A80" s="30"/>
      <c r="B80" s="4"/>
      <c r="C80" s="4"/>
      <c r="D80" s="10"/>
      <c r="E80" s="4"/>
      <c r="F80" s="10"/>
      <c r="G80" s="10"/>
      <c r="H80" s="4"/>
      <c r="I80" s="3"/>
      <c r="J80" s="3"/>
      <c r="K80" s="78"/>
      <c r="L80" s="11"/>
    </row>
    <row r="81" spans="1:20" ht="30" customHeight="1" thickBot="1" x14ac:dyDescent="0.3">
      <c r="A81" s="263" t="str">
        <f>A2</f>
        <v>R &amp; D Ahmedabad, Analytical Development</v>
      </c>
      <c r="B81" s="264"/>
      <c r="C81" s="264"/>
      <c r="D81" s="264"/>
      <c r="E81" s="264"/>
      <c r="F81" s="264"/>
      <c r="G81" s="264"/>
      <c r="H81" s="264"/>
      <c r="I81" s="264"/>
      <c r="J81" s="264"/>
      <c r="K81" s="264"/>
      <c r="L81" s="265"/>
      <c r="M81" s="82"/>
      <c r="N81" s="82"/>
      <c r="O81" s="82"/>
      <c r="P81" s="82"/>
      <c r="Q81" s="82"/>
    </row>
    <row r="82" spans="1:20" ht="24" customHeight="1" x14ac:dyDescent="0.25">
      <c r="A82" s="149" t="s">
        <v>95</v>
      </c>
      <c r="B82" s="247" t="str">
        <f>B3</f>
        <v>Doxorubicine Hydrocholride Liposome For Injection, 2mg/mL</v>
      </c>
      <c r="C82" s="247"/>
      <c r="D82" s="247"/>
      <c r="E82" s="247"/>
      <c r="F82" s="247"/>
      <c r="G82" s="247"/>
      <c r="H82" s="247"/>
      <c r="I82" s="247"/>
      <c r="J82" s="247"/>
      <c r="K82" s="247"/>
      <c r="L82" s="248"/>
      <c r="M82" s="10"/>
      <c r="N82" s="10"/>
      <c r="O82" s="10"/>
      <c r="P82" s="10"/>
      <c r="Q82" s="10"/>
    </row>
    <row r="83" spans="1:20" ht="24" customHeight="1" x14ac:dyDescent="0.25">
      <c r="A83" s="85" t="s">
        <v>98</v>
      </c>
      <c r="B83" s="280">
        <f>B4</f>
        <v>46170</v>
      </c>
      <c r="C83" s="280"/>
      <c r="D83" s="280"/>
      <c r="E83" s="280"/>
      <c r="F83" s="280"/>
      <c r="G83" s="280"/>
      <c r="H83" s="280"/>
      <c r="I83" s="280"/>
      <c r="J83" s="280"/>
      <c r="K83" s="280"/>
      <c r="L83" s="281"/>
      <c r="M83" s="10"/>
      <c r="N83" s="10"/>
      <c r="O83" s="10"/>
      <c r="P83" s="10"/>
      <c r="Q83" s="10"/>
    </row>
    <row r="84" spans="1:20" ht="24" customHeight="1" x14ac:dyDescent="0.25">
      <c r="A84" s="85" t="s">
        <v>96</v>
      </c>
      <c r="B84" s="282">
        <f>B5</f>
        <v>0</v>
      </c>
      <c r="C84" s="282"/>
      <c r="D84" s="282"/>
      <c r="E84" s="282"/>
      <c r="F84" s="282"/>
      <c r="G84" s="282"/>
      <c r="H84" s="282"/>
      <c r="I84" s="282"/>
      <c r="J84" s="282"/>
      <c r="K84" s="282"/>
      <c r="L84" s="283"/>
      <c r="M84" s="10"/>
      <c r="N84" s="10"/>
      <c r="O84" s="10"/>
      <c r="P84" s="10"/>
      <c r="Q84" s="10"/>
    </row>
    <row r="85" spans="1:20" ht="24" customHeight="1" thickBot="1" x14ac:dyDescent="0.3">
      <c r="A85" s="150" t="s">
        <v>97</v>
      </c>
      <c r="B85" s="284" t="str">
        <f>B6</f>
        <v>Aditi Thaker</v>
      </c>
      <c r="C85" s="285"/>
      <c r="D85" s="285"/>
      <c r="E85" s="285"/>
      <c r="F85" s="285"/>
      <c r="G85" s="285"/>
      <c r="H85" s="285"/>
      <c r="I85" s="285"/>
      <c r="J85" s="285"/>
      <c r="K85" s="285"/>
      <c r="L85" s="286"/>
      <c r="M85" s="10"/>
      <c r="N85" s="10"/>
      <c r="O85" s="10"/>
      <c r="P85" s="10"/>
      <c r="Q85" s="10"/>
    </row>
    <row r="86" spans="1:20" ht="24" customHeight="1" x14ac:dyDescent="0.25">
      <c r="A86" s="83"/>
      <c r="B86" s="10"/>
      <c r="C86" s="10"/>
      <c r="D86" s="63"/>
      <c r="E86" s="63"/>
      <c r="F86" s="63"/>
      <c r="G86" s="63"/>
      <c r="H86" s="63"/>
      <c r="I86" s="63"/>
      <c r="J86" s="10"/>
      <c r="K86" s="31"/>
      <c r="L86" s="11"/>
      <c r="M86" s="10"/>
      <c r="N86" s="10"/>
      <c r="O86" s="10"/>
      <c r="P86" s="10"/>
      <c r="Q86" s="10"/>
    </row>
    <row r="87" spans="1:20" ht="42.75" customHeight="1" x14ac:dyDescent="0.25">
      <c r="A87" s="84" t="s">
        <v>93</v>
      </c>
      <c r="B87" s="87" t="s">
        <v>17</v>
      </c>
      <c r="C87" s="32" t="s">
        <v>48</v>
      </c>
      <c r="D87" s="87" t="s">
        <v>49</v>
      </c>
      <c r="E87" s="44"/>
      <c r="F87" s="44"/>
      <c r="G87" s="44"/>
      <c r="H87" s="44"/>
      <c r="I87" s="44"/>
      <c r="J87" s="10"/>
      <c r="K87" s="31"/>
      <c r="L87" s="11"/>
      <c r="M87" s="10"/>
      <c r="N87" s="10"/>
      <c r="O87" s="10"/>
      <c r="P87" s="10"/>
      <c r="Q87" s="10"/>
    </row>
    <row r="88" spans="1:20" ht="24" customHeight="1" x14ac:dyDescent="0.25">
      <c r="A88" s="85" t="s">
        <v>50</v>
      </c>
      <c r="B88" s="86">
        <f>C33</f>
        <v>466.72300000000001</v>
      </c>
      <c r="C88" s="86">
        <f>C45</f>
        <v>-625.33090000000004</v>
      </c>
      <c r="D88" s="86">
        <f>C57</f>
        <v>115.3385</v>
      </c>
      <c r="E88" s="44"/>
      <c r="F88" s="44"/>
      <c r="G88" s="44"/>
      <c r="H88" s="44"/>
      <c r="I88" s="44"/>
      <c r="J88" s="10"/>
      <c r="K88" s="10"/>
      <c r="L88" s="11"/>
      <c r="M88" s="10"/>
      <c r="N88" s="10"/>
      <c r="O88" s="10"/>
      <c r="P88" s="10"/>
      <c r="Q88" s="10"/>
    </row>
    <row r="89" spans="1:20" ht="24" customHeight="1" x14ac:dyDescent="0.25">
      <c r="A89" s="85" t="s">
        <v>51</v>
      </c>
      <c r="B89" s="86">
        <f>D33</f>
        <v>378.59449999999998</v>
      </c>
      <c r="C89" s="86">
        <f>D45</f>
        <v>503.1576</v>
      </c>
      <c r="D89" s="86">
        <f>D57</f>
        <v>432.50060000000002</v>
      </c>
      <c r="E89" s="44"/>
      <c r="F89" s="44"/>
      <c r="G89" s="44"/>
      <c r="H89" s="44"/>
      <c r="I89" s="44"/>
      <c r="J89" s="10"/>
      <c r="K89" s="10"/>
      <c r="L89" s="11"/>
      <c r="M89" s="10"/>
      <c r="N89" s="10"/>
      <c r="O89" s="10"/>
      <c r="P89" s="10"/>
      <c r="Q89" s="10"/>
    </row>
    <row r="90" spans="1:20" ht="24" customHeight="1" x14ac:dyDescent="0.25">
      <c r="A90" s="85" t="s">
        <v>52</v>
      </c>
      <c r="B90" s="86">
        <f>E33</f>
        <v>6.9999999999999999E-4</v>
      </c>
      <c r="C90" s="86">
        <f>E45</f>
        <v>-9.2999999999999992E-3</v>
      </c>
      <c r="D90" s="86">
        <f>E57</f>
        <v>9.4999999999999998E-3</v>
      </c>
      <c r="E90" s="44"/>
      <c r="F90" s="44"/>
      <c r="G90" s="44"/>
      <c r="H90" s="44"/>
      <c r="I90" s="44"/>
      <c r="J90" s="10"/>
      <c r="K90" s="10"/>
      <c r="L90" s="11"/>
      <c r="M90" s="10"/>
      <c r="N90" s="10"/>
      <c r="O90" s="10"/>
      <c r="P90" s="10"/>
      <c r="Q90" s="10"/>
    </row>
    <row r="91" spans="1:20" ht="24" customHeight="1" x14ac:dyDescent="0.25">
      <c r="A91" s="2"/>
      <c r="B91" s="4"/>
      <c r="C91" s="4"/>
      <c r="D91" s="4"/>
      <c r="E91" s="4"/>
      <c r="F91" s="3"/>
      <c r="G91" s="44"/>
      <c r="H91" s="44"/>
      <c r="I91" s="44"/>
      <c r="J91" s="10"/>
      <c r="K91" s="10"/>
      <c r="L91" s="11"/>
      <c r="M91" s="10"/>
      <c r="N91" s="10"/>
      <c r="O91" s="10"/>
      <c r="P91" s="10"/>
      <c r="Q91" s="10"/>
    </row>
    <row r="92" spans="1:20" ht="24" customHeight="1" x14ac:dyDescent="0.25">
      <c r="A92" s="266" t="s">
        <v>53</v>
      </c>
      <c r="B92" s="209" t="s">
        <v>54</v>
      </c>
      <c r="C92" s="209"/>
      <c r="D92" s="241" t="s">
        <v>55</v>
      </c>
      <c r="E92" s="267" t="s">
        <v>17</v>
      </c>
      <c r="F92" s="268"/>
      <c r="G92" s="210" t="s">
        <v>56</v>
      </c>
      <c r="H92" s="210"/>
      <c r="I92" s="209" t="s">
        <v>49</v>
      </c>
      <c r="J92" s="209"/>
      <c r="K92" s="209"/>
      <c r="L92" s="269"/>
      <c r="O92" s="10"/>
      <c r="P92" s="10"/>
      <c r="Q92" s="10"/>
      <c r="R92" s="10"/>
      <c r="S92" s="10"/>
      <c r="T92" s="10"/>
    </row>
    <row r="93" spans="1:20" ht="35.25" customHeight="1" x14ac:dyDescent="0.25">
      <c r="A93" s="266"/>
      <c r="B93" s="89" t="s">
        <v>57</v>
      </c>
      <c r="C93" s="90" t="s">
        <v>58</v>
      </c>
      <c r="D93" s="242"/>
      <c r="E93" s="90" t="s">
        <v>59</v>
      </c>
      <c r="F93" s="32" t="s">
        <v>60</v>
      </c>
      <c r="G93" s="88" t="s">
        <v>59</v>
      </c>
      <c r="H93" s="91" t="s">
        <v>61</v>
      </c>
      <c r="I93" s="90" t="s">
        <v>19</v>
      </c>
      <c r="J93" s="90" t="s">
        <v>21</v>
      </c>
      <c r="K93" s="88" t="s">
        <v>62</v>
      </c>
      <c r="L93" s="92" t="s">
        <v>63</v>
      </c>
      <c r="O93" s="10"/>
      <c r="P93" s="10"/>
      <c r="Q93" s="10"/>
      <c r="R93" s="10"/>
      <c r="S93" s="10"/>
      <c r="T93" s="10"/>
    </row>
    <row r="94" spans="1:20" ht="24" customHeight="1" x14ac:dyDescent="0.25">
      <c r="A94" s="146" t="s">
        <v>107</v>
      </c>
      <c r="B94" s="94">
        <v>1.0422</v>
      </c>
      <c r="C94" s="95">
        <v>100</v>
      </c>
      <c r="D94" s="87">
        <v>1.0313000000000001</v>
      </c>
      <c r="E94" s="96">
        <v>11.755000000000001</v>
      </c>
      <c r="F94" s="204">
        <f>E94-$B$90</f>
        <v>11.754300000000001</v>
      </c>
      <c r="G94" s="96">
        <v>14.464</v>
      </c>
      <c r="H94" s="204">
        <f>G94-$C$90</f>
        <v>14.4733</v>
      </c>
      <c r="I94" s="96">
        <v>11.071</v>
      </c>
      <c r="J94" s="96">
        <v>33.412999999999997</v>
      </c>
      <c r="K94" s="56">
        <f>SUM(I94:J94)</f>
        <v>44.483999999999995</v>
      </c>
      <c r="L94" s="99">
        <f t="shared" ref="L94:L105" si="0">K94-$D$90</f>
        <v>44.474499999999992</v>
      </c>
      <c r="O94" s="10"/>
      <c r="P94" s="10"/>
      <c r="Q94" s="10"/>
      <c r="R94" s="10"/>
      <c r="S94" s="10"/>
      <c r="T94" s="10"/>
    </row>
    <row r="95" spans="1:20" ht="24" customHeight="1" x14ac:dyDescent="0.25">
      <c r="A95" s="148" t="s">
        <v>108</v>
      </c>
      <c r="B95" s="94">
        <v>1.0409999999999999</v>
      </c>
      <c r="C95" s="95">
        <v>100</v>
      </c>
      <c r="D95" s="201">
        <v>1.0313000000000001</v>
      </c>
      <c r="E95" s="96">
        <v>11.885999999999999</v>
      </c>
      <c r="F95" s="204">
        <f t="shared" ref="F95:F105" si="1">E95-$B$90</f>
        <v>11.885299999999999</v>
      </c>
      <c r="G95" s="96">
        <v>14.552</v>
      </c>
      <c r="H95" s="204">
        <f t="shared" ref="H95:H105" si="2">G95-$C$90</f>
        <v>14.561299999999999</v>
      </c>
      <c r="I95" s="96">
        <v>10.933</v>
      </c>
      <c r="J95" s="96">
        <v>33.408000000000001</v>
      </c>
      <c r="K95" s="56">
        <f>SUM(I95:J95)</f>
        <v>44.341000000000001</v>
      </c>
      <c r="L95" s="99">
        <f t="shared" si="0"/>
        <v>44.331499999999998</v>
      </c>
      <c r="O95" s="10"/>
      <c r="P95" s="10"/>
      <c r="Q95" s="10"/>
      <c r="R95" s="10"/>
      <c r="S95" s="10"/>
      <c r="T95" s="10"/>
    </row>
    <row r="96" spans="1:20" ht="24" customHeight="1" x14ac:dyDescent="0.25">
      <c r="A96" s="154" t="s">
        <v>110</v>
      </c>
      <c r="B96" s="94">
        <v>1.0097</v>
      </c>
      <c r="C96" s="95">
        <v>100</v>
      </c>
      <c r="D96" s="87">
        <v>1.0313000000000001</v>
      </c>
      <c r="E96" s="96">
        <v>11.534000000000001</v>
      </c>
      <c r="F96" s="97">
        <v>11.534000000000001</v>
      </c>
      <c r="G96" s="96">
        <v>14.298</v>
      </c>
      <c r="H96" s="98">
        <f>G96-$C$90</f>
        <v>14.3073</v>
      </c>
      <c r="I96" s="96">
        <v>10.529</v>
      </c>
      <c r="J96" s="96">
        <v>32.738999999999997</v>
      </c>
      <c r="K96" s="56">
        <f t="shared" ref="K96:K103" si="3">SUM(I96:J96)</f>
        <v>43.268000000000001</v>
      </c>
      <c r="L96" s="99">
        <f t="shared" si="0"/>
        <v>43.258499999999998</v>
      </c>
      <c r="O96" s="10"/>
      <c r="P96" s="10"/>
      <c r="Q96" s="10"/>
      <c r="R96" s="10"/>
      <c r="S96" s="10"/>
      <c r="T96" s="10"/>
    </row>
    <row r="97" spans="1:20" ht="24" customHeight="1" x14ac:dyDescent="0.25">
      <c r="A97" s="154" t="s">
        <v>111</v>
      </c>
      <c r="B97" s="94">
        <v>1.0097</v>
      </c>
      <c r="C97" s="95">
        <v>100</v>
      </c>
      <c r="D97" s="201">
        <v>1.0313000000000001</v>
      </c>
      <c r="E97" s="96">
        <v>11.472</v>
      </c>
      <c r="F97" s="97">
        <f t="shared" si="1"/>
        <v>11.471299999999999</v>
      </c>
      <c r="G97" s="96">
        <v>14.134</v>
      </c>
      <c r="H97" s="98">
        <f t="shared" si="2"/>
        <v>14.1433</v>
      </c>
      <c r="I97" s="96">
        <v>10.695</v>
      </c>
      <c r="J97" s="96">
        <v>32.531999999999996</v>
      </c>
      <c r="K97" s="56">
        <f t="shared" si="3"/>
        <v>43.226999999999997</v>
      </c>
      <c r="L97" s="99">
        <f t="shared" si="0"/>
        <v>43.217499999999994</v>
      </c>
      <c r="O97" s="10"/>
      <c r="P97" s="10"/>
      <c r="Q97" s="10"/>
      <c r="R97" s="10"/>
      <c r="S97" s="10"/>
      <c r="T97" s="10"/>
    </row>
    <row r="98" spans="1:20" ht="24" customHeight="1" x14ac:dyDescent="0.25">
      <c r="A98" s="154" t="s">
        <v>112</v>
      </c>
      <c r="B98" s="94">
        <v>1.0105999999999999</v>
      </c>
      <c r="C98" s="95">
        <v>100</v>
      </c>
      <c r="D98" s="87">
        <v>1.0306999999999999</v>
      </c>
      <c r="E98" s="96">
        <v>11.472</v>
      </c>
      <c r="F98" s="97">
        <f t="shared" si="1"/>
        <v>11.471299999999999</v>
      </c>
      <c r="G98" s="96">
        <v>14.273999999999999</v>
      </c>
      <c r="H98" s="98">
        <f t="shared" si="2"/>
        <v>14.283299999999999</v>
      </c>
      <c r="I98" s="96">
        <v>10.558</v>
      </c>
      <c r="J98" s="96">
        <v>32.671999999999997</v>
      </c>
      <c r="K98" s="56">
        <f t="shared" si="3"/>
        <v>43.23</v>
      </c>
      <c r="L98" s="99">
        <f t="shared" si="0"/>
        <v>43.220499999999994</v>
      </c>
      <c r="O98" s="10"/>
      <c r="P98" s="10"/>
      <c r="Q98" s="10"/>
      <c r="R98" s="10"/>
      <c r="S98" s="10"/>
      <c r="T98" s="10"/>
    </row>
    <row r="99" spans="1:20" ht="24" customHeight="1" x14ac:dyDescent="0.25">
      <c r="A99" s="154" t="s">
        <v>113</v>
      </c>
      <c r="B99" s="94">
        <v>1.0105999999999999</v>
      </c>
      <c r="C99" s="95">
        <v>100</v>
      </c>
      <c r="D99" s="201">
        <v>1.0306999999999999</v>
      </c>
      <c r="E99" s="96">
        <v>11.387</v>
      </c>
      <c r="F99" s="97">
        <f t="shared" si="1"/>
        <v>11.3863</v>
      </c>
      <c r="G99" s="96">
        <v>14.374000000000001</v>
      </c>
      <c r="H99" s="98">
        <f t="shared" si="2"/>
        <v>14.3833</v>
      </c>
      <c r="I99" s="96">
        <v>10.606999999999999</v>
      </c>
      <c r="J99" s="96">
        <v>32.533999999999999</v>
      </c>
      <c r="K99" s="56">
        <f t="shared" si="3"/>
        <v>43.140999999999998</v>
      </c>
      <c r="L99" s="99">
        <f t="shared" si="0"/>
        <v>43.131499999999996</v>
      </c>
      <c r="O99" s="10"/>
      <c r="P99" s="10"/>
      <c r="Q99" s="10"/>
      <c r="R99" s="10"/>
      <c r="S99" s="10"/>
      <c r="T99" s="10"/>
    </row>
    <row r="100" spans="1:20" ht="24" customHeight="1" x14ac:dyDescent="0.25">
      <c r="A100" s="154" t="s">
        <v>114</v>
      </c>
      <c r="B100" s="94">
        <v>1.0065999999999999</v>
      </c>
      <c r="C100" s="95">
        <v>100</v>
      </c>
      <c r="D100" s="87">
        <v>1.0306</v>
      </c>
      <c r="E100" s="96">
        <v>11.371</v>
      </c>
      <c r="F100" s="97">
        <f t="shared" si="1"/>
        <v>11.3703</v>
      </c>
      <c r="G100" s="96">
        <v>14.096</v>
      </c>
      <c r="H100" s="98">
        <f t="shared" si="2"/>
        <v>14.1053</v>
      </c>
      <c r="I100" s="96">
        <v>10.557</v>
      </c>
      <c r="J100" s="96">
        <v>32.402000000000001</v>
      </c>
      <c r="K100" s="56">
        <f t="shared" si="3"/>
        <v>42.959000000000003</v>
      </c>
      <c r="L100" s="99">
        <f t="shared" si="0"/>
        <v>42.9495</v>
      </c>
      <c r="O100" s="10"/>
      <c r="P100" s="10"/>
      <c r="Q100" s="10"/>
      <c r="R100" s="10"/>
      <c r="S100" s="10"/>
      <c r="T100" s="10"/>
    </row>
    <row r="101" spans="1:20" ht="24" customHeight="1" x14ac:dyDescent="0.25">
      <c r="A101" s="154" t="s">
        <v>115</v>
      </c>
      <c r="B101" s="94">
        <v>1.0078</v>
      </c>
      <c r="C101" s="95">
        <v>100</v>
      </c>
      <c r="D101" s="201">
        <v>1.0306</v>
      </c>
      <c r="E101" s="96">
        <v>11.351000000000001</v>
      </c>
      <c r="F101" s="97">
        <f t="shared" si="1"/>
        <v>11.350300000000001</v>
      </c>
      <c r="G101" s="96">
        <v>14.227</v>
      </c>
      <c r="H101" s="98">
        <f t="shared" si="2"/>
        <v>14.2363</v>
      </c>
      <c r="I101" s="96">
        <v>10.443</v>
      </c>
      <c r="J101" s="96">
        <v>32.554000000000002</v>
      </c>
      <c r="K101" s="56">
        <f t="shared" si="3"/>
        <v>42.997</v>
      </c>
      <c r="L101" s="99">
        <f t="shared" si="0"/>
        <v>42.987499999999997</v>
      </c>
      <c r="O101" s="10"/>
      <c r="P101" s="10"/>
      <c r="Q101" s="10"/>
      <c r="R101" s="10"/>
      <c r="S101" s="10"/>
      <c r="T101" s="10"/>
    </row>
    <row r="102" spans="1:20" ht="24" customHeight="1" x14ac:dyDescent="0.25">
      <c r="A102" s="154" t="s">
        <v>116</v>
      </c>
      <c r="B102" s="94">
        <v>1.0139</v>
      </c>
      <c r="C102" s="95">
        <v>100</v>
      </c>
      <c r="D102" s="86">
        <v>1.0309999999999999</v>
      </c>
      <c r="E102" s="96">
        <v>11.507</v>
      </c>
      <c r="F102" s="97">
        <f t="shared" si="1"/>
        <v>11.5063</v>
      </c>
      <c r="G102" s="96">
        <v>14.425000000000001</v>
      </c>
      <c r="H102" s="98">
        <f t="shared" si="2"/>
        <v>14.4343</v>
      </c>
      <c r="I102" s="96">
        <v>10.513</v>
      </c>
      <c r="J102" s="96">
        <v>32.838000000000001</v>
      </c>
      <c r="K102" s="56">
        <f t="shared" si="3"/>
        <v>43.350999999999999</v>
      </c>
      <c r="L102" s="99">
        <f t="shared" si="0"/>
        <v>43.341499999999996</v>
      </c>
      <c r="O102" s="10"/>
      <c r="P102" s="10"/>
      <c r="Q102" s="10"/>
      <c r="R102" s="10"/>
      <c r="S102" s="10"/>
      <c r="T102" s="10"/>
    </row>
    <row r="103" spans="1:20" ht="24" customHeight="1" x14ac:dyDescent="0.25">
      <c r="A103" s="154" t="s">
        <v>117</v>
      </c>
      <c r="B103" s="94">
        <v>1.0139</v>
      </c>
      <c r="C103" s="95">
        <v>100</v>
      </c>
      <c r="D103" s="86">
        <v>1.0309999999999999</v>
      </c>
      <c r="E103" s="96">
        <v>11.547000000000001</v>
      </c>
      <c r="F103" s="97">
        <f t="shared" si="1"/>
        <v>11.5463</v>
      </c>
      <c r="G103" s="96">
        <v>14.193</v>
      </c>
      <c r="H103" s="98">
        <f t="shared" si="2"/>
        <v>14.202299999999999</v>
      </c>
      <c r="I103" s="96">
        <v>10.61</v>
      </c>
      <c r="J103" s="96">
        <v>32.676000000000002</v>
      </c>
      <c r="K103" s="56">
        <f t="shared" si="3"/>
        <v>43.286000000000001</v>
      </c>
      <c r="L103" s="99">
        <f t="shared" si="0"/>
        <v>43.276499999999999</v>
      </c>
      <c r="O103" s="10"/>
      <c r="P103" s="10"/>
      <c r="Q103" s="10"/>
      <c r="R103" s="10"/>
      <c r="S103" s="10"/>
      <c r="T103" s="10"/>
    </row>
    <row r="104" spans="1:20" ht="24" customHeight="1" x14ac:dyDescent="0.25">
      <c r="A104" s="154" t="s">
        <v>118</v>
      </c>
      <c r="B104" s="94">
        <v>1.0134000000000001</v>
      </c>
      <c r="C104" s="95">
        <v>100</v>
      </c>
      <c r="D104" s="87">
        <v>1.0311999999999999</v>
      </c>
      <c r="E104" s="96">
        <v>11.432</v>
      </c>
      <c r="F104" s="97">
        <f t="shared" si="1"/>
        <v>11.4313</v>
      </c>
      <c r="G104" s="96">
        <v>14.13</v>
      </c>
      <c r="H104" s="98">
        <f t="shared" si="2"/>
        <v>14.1393</v>
      </c>
      <c r="I104" s="96">
        <v>10.487</v>
      </c>
      <c r="J104" s="96">
        <v>32.862000000000002</v>
      </c>
      <c r="K104" s="56">
        <f t="shared" ref="K104:K105" si="4">SUM(I104:J104)</f>
        <v>43.349000000000004</v>
      </c>
      <c r="L104" s="99">
        <f t="shared" si="0"/>
        <v>43.339500000000001</v>
      </c>
      <c r="O104" s="10"/>
      <c r="P104" s="10"/>
      <c r="Q104" s="10"/>
      <c r="R104" s="10"/>
      <c r="S104" s="10"/>
      <c r="T104" s="10"/>
    </row>
    <row r="105" spans="1:20" ht="24" customHeight="1" x14ac:dyDescent="0.25">
      <c r="A105" s="154" t="s">
        <v>119</v>
      </c>
      <c r="B105" s="94">
        <v>1.0134000000000001</v>
      </c>
      <c r="C105" s="95">
        <v>100</v>
      </c>
      <c r="D105" s="201">
        <v>1.0311999999999999</v>
      </c>
      <c r="E105" s="96">
        <v>11.340999999999999</v>
      </c>
      <c r="F105" s="97">
        <f t="shared" si="1"/>
        <v>11.340299999999999</v>
      </c>
      <c r="G105" s="96">
        <v>14.544</v>
      </c>
      <c r="H105" s="98">
        <f t="shared" si="2"/>
        <v>14.5533</v>
      </c>
      <c r="I105" s="96">
        <v>10.526999999999999</v>
      </c>
      <c r="J105" s="96">
        <v>32.832000000000001</v>
      </c>
      <c r="K105" s="56">
        <f t="shared" si="4"/>
        <v>43.359000000000002</v>
      </c>
      <c r="L105" s="99">
        <f t="shared" si="0"/>
        <v>43.349499999999999</v>
      </c>
      <c r="O105" s="10"/>
      <c r="P105" s="10"/>
      <c r="Q105" s="10"/>
      <c r="R105" s="10"/>
      <c r="S105" s="10"/>
      <c r="T105" s="10"/>
    </row>
    <row r="106" spans="1:20" ht="24" customHeight="1" x14ac:dyDescent="0.25">
      <c r="A106" s="100"/>
      <c r="B106" s="101"/>
      <c r="C106" s="101"/>
      <c r="D106" s="102"/>
      <c r="E106" s="126"/>
      <c r="F106" s="3"/>
      <c r="G106" s="31"/>
      <c r="H106" s="10"/>
      <c r="I106" s="44"/>
      <c r="J106" s="10"/>
      <c r="K106" s="103"/>
      <c r="L106" s="11"/>
      <c r="M106" s="10"/>
      <c r="N106" s="10"/>
      <c r="O106" s="10"/>
      <c r="P106" s="10"/>
      <c r="Q106" s="10"/>
    </row>
    <row r="107" spans="1:20" ht="24" customHeight="1" x14ac:dyDescent="0.25">
      <c r="A107" s="100"/>
      <c r="B107" s="209" t="s">
        <v>17</v>
      </c>
      <c r="C107" s="209"/>
      <c r="D107" s="209"/>
      <c r="E107" s="210" t="s">
        <v>48</v>
      </c>
      <c r="F107" s="210"/>
      <c r="G107" s="210"/>
      <c r="H107" s="209" t="s">
        <v>49</v>
      </c>
      <c r="I107" s="209"/>
      <c r="J107" s="209"/>
      <c r="K107" s="103"/>
      <c r="L107" s="11"/>
      <c r="M107" s="10"/>
      <c r="N107" s="10"/>
      <c r="O107" s="10"/>
      <c r="P107" s="10"/>
      <c r="Q107" s="10"/>
    </row>
    <row r="108" spans="1:20" ht="24" customHeight="1" x14ac:dyDescent="0.25">
      <c r="A108" s="93" t="str">
        <f>A92</f>
        <v>Sample Name / Stage</v>
      </c>
      <c r="B108" s="32" t="s">
        <v>64</v>
      </c>
      <c r="C108" s="87" t="s">
        <v>65</v>
      </c>
      <c r="D108" s="104" t="s">
        <v>66</v>
      </c>
      <c r="E108" s="32" t="s">
        <v>64</v>
      </c>
      <c r="F108" s="87" t="s">
        <v>65</v>
      </c>
      <c r="G108" s="105" t="s">
        <v>66</v>
      </c>
      <c r="H108" s="32" t="s">
        <v>64</v>
      </c>
      <c r="I108" s="87" t="s">
        <v>65</v>
      </c>
      <c r="J108" s="104" t="s">
        <v>66</v>
      </c>
      <c r="K108" s="10"/>
      <c r="L108" s="11"/>
      <c r="M108" s="10"/>
      <c r="N108" s="10"/>
      <c r="O108" s="10"/>
      <c r="P108" s="10"/>
      <c r="Q108" s="10"/>
    </row>
    <row r="109" spans="1:20" ht="24" customHeight="1" x14ac:dyDescent="0.25">
      <c r="A109" s="93" t="str">
        <f t="shared" ref="A109:A120" si="5">A94</f>
        <v>ESD25E001_Initial_Set-1</v>
      </c>
      <c r="B109" s="202">
        <f t="shared" ref="B109:B120" si="6">ROUND((-$B$89+SQRT($B$89*$B$89-(4*$B$88*(-F94))))/(2*$B$88),3)</f>
        <v>0.03</v>
      </c>
      <c r="C109" s="98">
        <f>ROUND(B109/B94*C94*$D$94*100/$F$11,2)</f>
        <v>93.06</v>
      </c>
      <c r="D109" s="208">
        <f>ROUND(AVERAGE(C109:C110),2)</f>
        <v>93.12</v>
      </c>
      <c r="E109" s="106">
        <f t="shared" ref="E109:E120" si="7">ROUND((-$C$89+SQRT($C$89*$C$89-(4*$C$88*(-H94))))/(2*$C$88),3)</f>
        <v>0.03</v>
      </c>
      <c r="F109" s="107">
        <f>ROUND(E109/B94*C94*$D$94*100/$F$12,2)</f>
        <v>93.06</v>
      </c>
      <c r="G109" s="208">
        <f>ROUND(AVERAGE(F109:F110),2)</f>
        <v>93.12</v>
      </c>
      <c r="H109" s="106">
        <f t="shared" ref="H109:H120" si="8">ROUND((-$D$89+SQRT($D$89*$D$89-(4*$D$88*(-L94))))/(2*$D$88),3)</f>
        <v>0.1</v>
      </c>
      <c r="I109" s="107">
        <f>ROUND(H109/B94*C94*$D$94*100/$F$13,2)</f>
        <v>103.29</v>
      </c>
      <c r="J109" s="208">
        <f>ROUND(AVERAGE(I109:I110),2)</f>
        <v>103.35</v>
      </c>
      <c r="K109" s="10"/>
      <c r="L109" s="11"/>
      <c r="M109" s="10"/>
      <c r="N109" s="10"/>
      <c r="O109" s="10"/>
      <c r="P109" s="10"/>
      <c r="Q109" s="10"/>
    </row>
    <row r="110" spans="1:20" ht="24" customHeight="1" x14ac:dyDescent="0.25">
      <c r="A110" s="93" t="str">
        <f t="shared" si="5"/>
        <v>ESD25E001_Initial_Set-2</v>
      </c>
      <c r="B110" s="202">
        <f t="shared" si="6"/>
        <v>0.03</v>
      </c>
      <c r="C110" s="98">
        <f t="shared" ref="C110:C120" si="9">ROUND(B110/B95*C95*$D$94*100/$F$11,2)</f>
        <v>93.17</v>
      </c>
      <c r="D110" s="207"/>
      <c r="E110" s="106">
        <f t="shared" si="7"/>
        <v>0.03</v>
      </c>
      <c r="F110" s="107">
        <f>ROUND(E110/B95*C95*$D$95*100/$F$12,2)</f>
        <v>93.17</v>
      </c>
      <c r="G110" s="208"/>
      <c r="H110" s="106">
        <f t="shared" si="8"/>
        <v>0.1</v>
      </c>
      <c r="I110" s="107">
        <f>ROUND(H110/B95*C95*$D$95*100/$F$13,2)</f>
        <v>103.41</v>
      </c>
      <c r="J110" s="208"/>
      <c r="K110" s="10"/>
      <c r="L110" s="11"/>
      <c r="M110" s="10"/>
      <c r="N110" s="10"/>
      <c r="O110" s="10"/>
      <c r="P110" s="10"/>
      <c r="Q110" s="10"/>
    </row>
    <row r="111" spans="1:20" ht="24" customHeight="1" x14ac:dyDescent="0.25">
      <c r="A111" s="93" t="str">
        <f t="shared" si="5"/>
        <v>ESD25E001_Cool Thaw_Cycle-1_Set-1</v>
      </c>
      <c r="B111" s="202">
        <f t="shared" si="6"/>
        <v>2.9000000000000001E-2</v>
      </c>
      <c r="C111" s="98">
        <f t="shared" si="9"/>
        <v>92.85</v>
      </c>
      <c r="D111" s="207">
        <f>ROUND(AVERAGE(C111:C112),2)</f>
        <v>92.85</v>
      </c>
      <c r="E111" s="106">
        <f t="shared" si="7"/>
        <v>0.03</v>
      </c>
      <c r="F111" s="107">
        <f>ROUND(E111/B96*C96*$D$96*100/$F$12,2)</f>
        <v>96.06</v>
      </c>
      <c r="G111" s="208">
        <f>ROUND(AVERAGE(F111:F112),2)</f>
        <v>94.46</v>
      </c>
      <c r="H111" s="106">
        <f t="shared" si="8"/>
        <v>9.7000000000000003E-2</v>
      </c>
      <c r="I111" s="107">
        <f>ROUND(H111/B96*C96*$D$96*100/$F$13,2)</f>
        <v>103.42</v>
      </c>
      <c r="J111" s="208">
        <f>ROUND(AVERAGE(I111:I112),2)</f>
        <v>103.42</v>
      </c>
      <c r="K111" s="103"/>
      <c r="L111" s="11"/>
      <c r="M111" s="10"/>
      <c r="N111" s="10"/>
      <c r="O111" s="10"/>
      <c r="P111" s="10"/>
      <c r="Q111" s="10"/>
    </row>
    <row r="112" spans="1:20" ht="24" customHeight="1" x14ac:dyDescent="0.25">
      <c r="A112" s="93" t="str">
        <f t="shared" si="5"/>
        <v>ESD25E001_Cool Thaw_Cycle-1_Set-2</v>
      </c>
      <c r="B112" s="202">
        <f t="shared" si="6"/>
        <v>2.9000000000000001E-2</v>
      </c>
      <c r="C112" s="98">
        <f t="shared" si="9"/>
        <v>92.85</v>
      </c>
      <c r="D112" s="207"/>
      <c r="E112" s="106">
        <f t="shared" si="7"/>
        <v>2.9000000000000001E-2</v>
      </c>
      <c r="F112" s="107">
        <f>ROUND(E112/B97*C97*$D$97*100/$F$12,2)</f>
        <v>92.85</v>
      </c>
      <c r="G112" s="208"/>
      <c r="H112" s="106">
        <f t="shared" si="8"/>
        <v>9.7000000000000003E-2</v>
      </c>
      <c r="I112" s="107">
        <f>ROUND(H112/B97*C97*$D$97*100/$F$13,2)</f>
        <v>103.42</v>
      </c>
      <c r="J112" s="208"/>
      <c r="K112" s="103"/>
      <c r="L112" s="11"/>
      <c r="M112" s="10"/>
      <c r="N112" s="10"/>
      <c r="O112" s="10"/>
      <c r="P112" s="10"/>
      <c r="Q112" s="10"/>
    </row>
    <row r="113" spans="1:17" ht="24" customHeight="1" x14ac:dyDescent="0.25">
      <c r="A113" s="93" t="str">
        <f t="shared" si="5"/>
        <v>ESD25E001_Cool Thaw_Cycle-2_Set-1</v>
      </c>
      <c r="B113" s="202">
        <f t="shared" si="6"/>
        <v>2.9000000000000001E-2</v>
      </c>
      <c r="C113" s="98">
        <f t="shared" si="9"/>
        <v>92.77</v>
      </c>
      <c r="D113" s="211">
        <f>ROUND(AVERAGE(C113:C114),2)</f>
        <v>92.77</v>
      </c>
      <c r="E113" s="106">
        <f t="shared" si="7"/>
        <v>2.9000000000000001E-2</v>
      </c>
      <c r="F113" s="107">
        <f>ROUND(E113/B98*C98*$D$98*100/$F$12,2)</f>
        <v>92.72</v>
      </c>
      <c r="G113" s="208">
        <f>ROUND(AVERAGE(F113:F114),2)</f>
        <v>94.32</v>
      </c>
      <c r="H113" s="106">
        <f t="shared" si="8"/>
        <v>9.7000000000000003E-2</v>
      </c>
      <c r="I113" s="107">
        <f>ROUND(H113/B98*C98*$D$98*100/$F$13,2)</f>
        <v>103.27</v>
      </c>
      <c r="J113" s="208">
        <f>ROUND(AVERAGE(I113:I114),2)</f>
        <v>103.27</v>
      </c>
      <c r="K113" s="103"/>
      <c r="L113" s="11"/>
      <c r="M113" s="10"/>
      <c r="N113" s="10"/>
      <c r="O113" s="10"/>
      <c r="P113" s="10"/>
      <c r="Q113" s="10"/>
    </row>
    <row r="114" spans="1:17" ht="24" customHeight="1" x14ac:dyDescent="0.25">
      <c r="A114" s="93" t="str">
        <f t="shared" si="5"/>
        <v>ESD25E001_Cool Thaw_Cycle-2_Set-2</v>
      </c>
      <c r="B114" s="202">
        <f t="shared" si="6"/>
        <v>2.9000000000000001E-2</v>
      </c>
      <c r="C114" s="98">
        <f t="shared" si="9"/>
        <v>92.77</v>
      </c>
      <c r="D114" s="211"/>
      <c r="E114" s="106">
        <f t="shared" si="7"/>
        <v>0.03</v>
      </c>
      <c r="F114" s="107">
        <f>ROUND(E114/B99*C99*$D$99*100/$F$12,2)</f>
        <v>95.91</v>
      </c>
      <c r="G114" s="208"/>
      <c r="H114" s="106">
        <f t="shared" si="8"/>
        <v>9.7000000000000003E-2</v>
      </c>
      <c r="I114" s="107">
        <f>ROUND(H114/B99*C99*$D$99*100/$F$13,2)</f>
        <v>103.27</v>
      </c>
      <c r="J114" s="208"/>
      <c r="K114" s="103"/>
      <c r="L114" s="11"/>
      <c r="M114" s="10"/>
      <c r="N114" s="10"/>
      <c r="O114" s="10"/>
      <c r="P114" s="10"/>
      <c r="Q114" s="10"/>
    </row>
    <row r="115" spans="1:17" ht="24" customHeight="1" x14ac:dyDescent="0.25">
      <c r="A115" s="93" t="str">
        <f t="shared" si="5"/>
        <v>ESD25E001_Cool Thaw_Cycle-3_Set-1</v>
      </c>
      <c r="B115" s="202">
        <f t="shared" si="6"/>
        <v>2.9000000000000001E-2</v>
      </c>
      <c r="C115" s="98">
        <f t="shared" si="9"/>
        <v>93.14</v>
      </c>
      <c r="D115" s="207">
        <f>ROUND(AVERAGE(C115:C116),2)</f>
        <v>93.09</v>
      </c>
      <c r="E115" s="106">
        <f t="shared" si="7"/>
        <v>2.9000000000000001E-2</v>
      </c>
      <c r="F115" s="107">
        <f>ROUND(E115/B100*C100*$D$100*100/$F$12,2)</f>
        <v>93.08</v>
      </c>
      <c r="G115" s="208">
        <f>ROUND(AVERAGE(F115:F116),2)</f>
        <v>93.03</v>
      </c>
      <c r="H115" s="106">
        <f t="shared" si="8"/>
        <v>9.7000000000000003E-2</v>
      </c>
      <c r="I115" s="107">
        <f>ROUND(H115/B100*C100*$D$100*100/$F$13,2)</f>
        <v>103.67</v>
      </c>
      <c r="J115" s="208">
        <f>ROUND(AVERAGE(I115:I116),2)</f>
        <v>103.61</v>
      </c>
      <c r="K115" s="103"/>
      <c r="L115" s="11"/>
      <c r="M115" s="10"/>
      <c r="N115" s="10"/>
      <c r="O115" s="10"/>
      <c r="P115" s="10"/>
      <c r="Q115" s="10"/>
    </row>
    <row r="116" spans="1:17" ht="24" customHeight="1" x14ac:dyDescent="0.25">
      <c r="A116" s="93" t="str">
        <f t="shared" si="5"/>
        <v>ESD25E001_Cool Thaw_Cycle-3_Set-2</v>
      </c>
      <c r="B116" s="202">
        <f t="shared" si="6"/>
        <v>2.9000000000000001E-2</v>
      </c>
      <c r="C116" s="98">
        <f t="shared" si="9"/>
        <v>93.03</v>
      </c>
      <c r="D116" s="207"/>
      <c r="E116" s="106">
        <f t="shared" si="7"/>
        <v>2.9000000000000001E-2</v>
      </c>
      <c r="F116" s="107">
        <f>ROUND(E116/B101*C101*$D$101*100/$F$12,2)</f>
        <v>92.97</v>
      </c>
      <c r="G116" s="208"/>
      <c r="H116" s="106">
        <f t="shared" si="8"/>
        <v>9.7000000000000003E-2</v>
      </c>
      <c r="I116" s="107">
        <f>ROUND(H116/B101*C101*$D$101*100/$F$13,2)</f>
        <v>103.54</v>
      </c>
      <c r="J116" s="208"/>
      <c r="K116" s="103"/>
      <c r="L116" s="11"/>
      <c r="M116" s="10"/>
      <c r="N116" s="10"/>
      <c r="O116" s="10"/>
      <c r="P116" s="10"/>
      <c r="Q116" s="10"/>
    </row>
    <row r="117" spans="1:17" ht="24" customHeight="1" x14ac:dyDescent="0.25">
      <c r="A117" s="93" t="str">
        <f t="shared" si="5"/>
        <v>ESD25E001_Freez Thaw_Cycle-1_Set-1</v>
      </c>
      <c r="B117" s="202">
        <f t="shared" si="6"/>
        <v>2.9000000000000001E-2</v>
      </c>
      <c r="C117" s="98">
        <f t="shared" si="9"/>
        <v>92.47</v>
      </c>
      <c r="D117" s="207">
        <f>ROUND(AVERAGE(C117:C118),2)</f>
        <v>92.47</v>
      </c>
      <c r="E117" s="106">
        <f t="shared" si="7"/>
        <v>0.03</v>
      </c>
      <c r="F117" s="107">
        <f>ROUND(E117/B102*C102*$D$102*100/$F$12,2)</f>
        <v>95.63</v>
      </c>
      <c r="G117" s="208">
        <f>ROUND(AVERAGE(F117:F118),2)</f>
        <v>94.04</v>
      </c>
      <c r="H117" s="106">
        <f t="shared" si="8"/>
        <v>9.8000000000000004E-2</v>
      </c>
      <c r="I117" s="107">
        <f>ROUND(H117/B102*C102*$D$102*100/$F$13,2)</f>
        <v>104.02</v>
      </c>
      <c r="J117" s="208">
        <f>ROUND(AVERAGE(I117:I118),2)</f>
        <v>104.02</v>
      </c>
      <c r="K117" s="103"/>
      <c r="L117" s="11"/>
      <c r="M117" s="10"/>
      <c r="N117" s="10"/>
      <c r="O117" s="10"/>
      <c r="P117" s="10"/>
      <c r="Q117" s="10"/>
    </row>
    <row r="118" spans="1:17" ht="24" customHeight="1" x14ac:dyDescent="0.25">
      <c r="A118" s="93" t="str">
        <f t="shared" si="5"/>
        <v>ESD25E001_Freez Thaw_Cycle-1_Set-2</v>
      </c>
      <c r="B118" s="202">
        <f t="shared" si="6"/>
        <v>2.9000000000000001E-2</v>
      </c>
      <c r="C118" s="98">
        <f t="shared" si="9"/>
        <v>92.47</v>
      </c>
      <c r="D118" s="207"/>
      <c r="E118" s="106">
        <f t="shared" si="7"/>
        <v>2.9000000000000001E-2</v>
      </c>
      <c r="F118" s="107">
        <f>ROUND(E118/B103*C103*$D$103*100/$F$12,2)</f>
        <v>92.44</v>
      </c>
      <c r="G118" s="208"/>
      <c r="H118" s="106">
        <f t="shared" si="8"/>
        <v>9.8000000000000004E-2</v>
      </c>
      <c r="I118" s="107">
        <f>ROUND(H118/B103*C103*$D$103*100/$F$13,2)</f>
        <v>104.02</v>
      </c>
      <c r="J118" s="208"/>
      <c r="K118" s="103"/>
      <c r="L118" s="11"/>
      <c r="M118" s="10"/>
      <c r="N118" s="10"/>
      <c r="O118" s="10"/>
      <c r="P118" s="10"/>
      <c r="Q118" s="10"/>
    </row>
    <row r="119" spans="1:17" ht="24" customHeight="1" x14ac:dyDescent="0.25">
      <c r="A119" s="93" t="str">
        <f t="shared" si="5"/>
        <v>ESD25E001_Freez Thaw_Cycle-2_Set-1</v>
      </c>
      <c r="B119" s="202">
        <f t="shared" si="6"/>
        <v>2.9000000000000001E-2</v>
      </c>
      <c r="C119" s="98">
        <f t="shared" si="9"/>
        <v>92.51</v>
      </c>
      <c r="D119" s="207">
        <f>ROUND(AVERAGE(C119:C120),2)</f>
        <v>92.51</v>
      </c>
      <c r="E119" s="106">
        <f t="shared" si="7"/>
        <v>2.9000000000000001E-2</v>
      </c>
      <c r="F119" s="107">
        <f>ROUND(E119/B104*C104*$D$102*100/$F$12,2)</f>
        <v>92.49</v>
      </c>
      <c r="G119" s="208">
        <f>ROUND(AVERAGE(F119:F120),2)</f>
        <v>94.09</v>
      </c>
      <c r="H119" s="106">
        <f t="shared" si="8"/>
        <v>9.8000000000000004E-2</v>
      </c>
      <c r="I119" s="107">
        <f>ROUND(H119/B104*C104*$D$102*100/$F$13,2)</f>
        <v>104.07</v>
      </c>
      <c r="J119" s="208">
        <f>ROUND(AVERAGE(I119:I120),2)</f>
        <v>104.07</v>
      </c>
      <c r="K119" s="103"/>
      <c r="L119" s="11"/>
      <c r="M119" s="10"/>
      <c r="N119" s="10"/>
      <c r="O119" s="10"/>
      <c r="P119" s="10"/>
      <c r="Q119" s="10"/>
    </row>
    <row r="120" spans="1:17" ht="24" customHeight="1" x14ac:dyDescent="0.25">
      <c r="A120" s="93" t="str">
        <f t="shared" si="5"/>
        <v>ESD25E001_Freez Thaw_Cycle-2_Set-2</v>
      </c>
      <c r="B120" s="202">
        <f t="shared" si="6"/>
        <v>2.9000000000000001E-2</v>
      </c>
      <c r="C120" s="98">
        <f t="shared" si="9"/>
        <v>92.51</v>
      </c>
      <c r="D120" s="207"/>
      <c r="E120" s="106">
        <f t="shared" si="7"/>
        <v>0.03</v>
      </c>
      <c r="F120" s="107">
        <f>ROUND(E120/B105*C105*$D$103*100/$F$12,2)</f>
        <v>95.68</v>
      </c>
      <c r="G120" s="208"/>
      <c r="H120" s="106">
        <f t="shared" si="8"/>
        <v>9.8000000000000004E-2</v>
      </c>
      <c r="I120" s="107">
        <f>ROUND(H120/B105*C105*$D$103*100/$F$13,2)</f>
        <v>104.07</v>
      </c>
      <c r="J120" s="208"/>
      <c r="K120" s="103"/>
      <c r="L120" s="11"/>
      <c r="M120" s="10"/>
      <c r="N120" s="10"/>
      <c r="O120" s="10"/>
      <c r="P120" s="10"/>
      <c r="Q120" s="10"/>
    </row>
    <row r="121" spans="1:17" s="118" customFormat="1" ht="24" customHeight="1" thickBot="1" x14ac:dyDescent="0.3">
      <c r="A121" s="108"/>
      <c r="B121" s="109"/>
      <c r="C121" s="109"/>
      <c r="D121" s="110"/>
      <c r="E121" s="111"/>
      <c r="F121" s="7"/>
      <c r="G121" s="112"/>
      <c r="H121" s="113"/>
      <c r="I121" s="113"/>
      <c r="J121" s="114"/>
      <c r="K121" s="114"/>
      <c r="L121" s="115"/>
      <c r="M121" s="116"/>
      <c r="N121" s="116"/>
      <c r="O121" s="117"/>
      <c r="P121" s="35"/>
      <c r="Q121" s="35"/>
    </row>
    <row r="122" spans="1:17" s="118" customFormat="1" ht="24" customHeight="1" x14ac:dyDescent="0.25">
      <c r="A122" s="119" t="s">
        <v>67</v>
      </c>
      <c r="B122" s="120"/>
      <c r="C122" s="120"/>
      <c r="D122" s="121"/>
      <c r="E122" s="122"/>
      <c r="F122" s="74"/>
      <c r="G122" s="123"/>
      <c r="H122" s="124"/>
      <c r="I122" s="124"/>
      <c r="J122" s="73"/>
      <c r="K122" s="125"/>
      <c r="L122" s="75"/>
      <c r="M122" s="10"/>
      <c r="N122" s="10"/>
      <c r="O122" s="10"/>
      <c r="P122" s="10"/>
      <c r="Q122" s="10"/>
    </row>
    <row r="123" spans="1:17" s="118" customFormat="1" ht="24" customHeight="1" x14ac:dyDescent="0.25">
      <c r="A123" s="140"/>
      <c r="B123" s="101"/>
      <c r="C123" s="101"/>
      <c r="D123" s="102"/>
      <c r="E123" s="126"/>
      <c r="F123" s="3"/>
      <c r="G123" s="31"/>
      <c r="H123" s="15"/>
      <c r="I123" s="15"/>
      <c r="J123" s="10"/>
      <c r="K123" s="36"/>
      <c r="L123" s="11"/>
      <c r="M123" s="10"/>
      <c r="N123" s="10"/>
      <c r="O123" s="10"/>
      <c r="P123" s="10"/>
      <c r="Q123" s="10"/>
    </row>
    <row r="124" spans="1:17" s="118" customFormat="1" ht="24" customHeight="1" x14ac:dyDescent="0.25">
      <c r="A124" s="140"/>
      <c r="B124" s="101"/>
      <c r="C124" s="101"/>
      <c r="D124" s="102"/>
      <c r="E124" s="126"/>
      <c r="F124" s="3"/>
      <c r="G124" s="31"/>
      <c r="H124" s="15"/>
      <c r="I124" s="15"/>
      <c r="J124" s="10"/>
      <c r="K124" s="36"/>
      <c r="L124" s="11"/>
      <c r="M124" s="10"/>
      <c r="N124" s="10"/>
      <c r="O124" s="10"/>
      <c r="P124" s="10"/>
      <c r="Q124" s="10"/>
    </row>
    <row r="125" spans="1:17" s="118" customFormat="1" ht="24" customHeight="1" x14ac:dyDescent="0.25">
      <c r="A125" s="140"/>
      <c r="B125" s="101"/>
      <c r="C125" s="101"/>
      <c r="D125" s="102"/>
      <c r="E125" s="126"/>
      <c r="F125" s="3"/>
      <c r="G125" s="31"/>
      <c r="H125" s="15"/>
      <c r="I125" s="15"/>
      <c r="J125" s="10"/>
      <c r="K125" s="36"/>
      <c r="L125" s="11"/>
      <c r="M125" s="10"/>
      <c r="N125" s="10"/>
      <c r="O125" s="10"/>
      <c r="P125" s="10"/>
      <c r="Q125" s="10"/>
    </row>
    <row r="126" spans="1:17" s="118" customFormat="1" ht="24" customHeight="1" x14ac:dyDescent="0.25">
      <c r="A126" s="140"/>
      <c r="B126" s="101"/>
      <c r="C126" s="101"/>
      <c r="D126" s="102"/>
      <c r="E126" s="126"/>
      <c r="F126" s="3"/>
      <c r="G126" s="31"/>
      <c r="H126" s="15"/>
      <c r="I126" s="15"/>
      <c r="J126" s="10"/>
      <c r="K126" s="36"/>
      <c r="L126" s="11"/>
      <c r="M126" s="10"/>
      <c r="N126" s="10"/>
      <c r="O126" s="10"/>
      <c r="P126" s="10"/>
      <c r="Q126" s="10"/>
    </row>
    <row r="127" spans="1:17" s="118" customFormat="1" ht="24" customHeight="1" x14ac:dyDescent="0.25">
      <c r="A127" s="140"/>
      <c r="B127" s="101"/>
      <c r="C127" s="101"/>
      <c r="D127" s="102"/>
      <c r="E127" s="126"/>
      <c r="F127" s="3"/>
      <c r="G127" s="31"/>
      <c r="H127" s="15"/>
      <c r="I127" s="15"/>
      <c r="J127" s="10"/>
      <c r="K127" s="36"/>
      <c r="L127" s="11"/>
      <c r="M127" s="10"/>
      <c r="N127" s="10"/>
      <c r="O127" s="10"/>
      <c r="P127" s="10"/>
      <c r="Q127" s="10"/>
    </row>
    <row r="128" spans="1:17" s="118" customFormat="1" ht="24" customHeight="1" x14ac:dyDescent="0.25">
      <c r="A128" s="140"/>
      <c r="B128" s="101"/>
      <c r="C128" s="101"/>
      <c r="D128" s="102"/>
      <c r="E128" s="126"/>
      <c r="F128" s="3"/>
      <c r="G128" s="31"/>
      <c r="H128" s="15"/>
      <c r="I128" s="15"/>
      <c r="J128" s="10"/>
      <c r="K128" s="36"/>
      <c r="L128" s="11"/>
      <c r="M128" s="10"/>
      <c r="N128" s="10"/>
      <c r="O128" s="10"/>
      <c r="P128" s="10"/>
      <c r="Q128" s="10"/>
    </row>
    <row r="129" spans="1:17" s="118" customFormat="1" ht="24" customHeight="1" x14ac:dyDescent="0.25">
      <c r="A129" s="140"/>
      <c r="B129" s="101"/>
      <c r="C129" s="101"/>
      <c r="D129" s="102"/>
      <c r="E129" s="126"/>
      <c r="F129" s="3"/>
      <c r="G129" s="31"/>
      <c r="H129" s="15"/>
      <c r="I129" s="15"/>
      <c r="J129" s="10"/>
      <c r="K129" s="36"/>
      <c r="L129" s="11"/>
      <c r="M129" s="10"/>
      <c r="N129" s="10"/>
      <c r="O129" s="10"/>
      <c r="P129" s="10"/>
      <c r="Q129" s="10"/>
    </row>
    <row r="130" spans="1:17" s="118" customFormat="1" ht="24" customHeight="1" x14ac:dyDescent="0.25">
      <c r="A130" s="140"/>
      <c r="B130" s="101"/>
      <c r="C130" s="101"/>
      <c r="D130" s="102"/>
      <c r="E130" s="126"/>
      <c r="F130" s="3"/>
      <c r="G130" s="31"/>
      <c r="H130" s="15"/>
      <c r="I130" s="15"/>
      <c r="J130" s="10"/>
      <c r="K130" s="36"/>
      <c r="L130" s="11"/>
      <c r="M130" s="10"/>
      <c r="N130" s="10"/>
      <c r="O130" s="10"/>
      <c r="P130" s="10"/>
      <c r="Q130" s="10"/>
    </row>
    <row r="131" spans="1:17" s="118" customFormat="1" ht="24" customHeight="1" x14ac:dyDescent="0.25">
      <c r="A131" s="145" t="s">
        <v>94</v>
      </c>
      <c r="B131" s="101"/>
      <c r="C131" s="101"/>
      <c r="D131" s="102"/>
      <c r="E131" s="126"/>
      <c r="F131" s="3"/>
      <c r="G131" s="31"/>
      <c r="H131" s="15"/>
      <c r="I131" s="15"/>
      <c r="J131" s="10"/>
      <c r="K131" s="36"/>
      <c r="L131" s="11"/>
      <c r="M131" s="10"/>
      <c r="N131" s="10"/>
      <c r="O131" s="10"/>
      <c r="P131" s="10"/>
      <c r="Q131" s="10"/>
    </row>
    <row r="132" spans="1:17" s="118" customFormat="1" ht="24" customHeight="1" x14ac:dyDescent="0.25">
      <c r="A132" s="140"/>
      <c r="B132" s="101"/>
      <c r="C132" s="101"/>
      <c r="D132" s="102"/>
      <c r="E132" s="126"/>
      <c r="F132" s="3"/>
      <c r="G132" s="31"/>
      <c r="H132" s="15"/>
      <c r="I132" s="15"/>
      <c r="J132" s="10"/>
      <c r="K132" s="36"/>
      <c r="L132" s="11"/>
      <c r="M132" s="10"/>
      <c r="N132" s="10"/>
      <c r="O132" s="10"/>
      <c r="P132" s="10"/>
      <c r="Q132" s="10"/>
    </row>
    <row r="133" spans="1:17" s="118" customFormat="1" ht="24" customHeight="1" x14ac:dyDescent="0.25">
      <c r="A133" s="140"/>
      <c r="B133" s="101"/>
      <c r="C133" s="101"/>
      <c r="D133" s="102"/>
      <c r="E133" s="126"/>
      <c r="F133" s="3"/>
      <c r="G133" s="31"/>
      <c r="H133" s="15"/>
      <c r="I133" s="15"/>
      <c r="J133" s="10"/>
      <c r="K133" s="36"/>
      <c r="L133" s="11"/>
      <c r="M133" s="10"/>
      <c r="N133" s="10"/>
      <c r="O133" s="10"/>
      <c r="P133" s="10"/>
      <c r="Q133" s="10"/>
    </row>
    <row r="134" spans="1:17" s="118" customFormat="1" ht="24" customHeight="1" x14ac:dyDescent="0.2">
      <c r="A134" s="100"/>
      <c r="B134" s="101"/>
      <c r="C134" s="101"/>
      <c r="D134" s="102"/>
      <c r="E134" s="260"/>
      <c r="F134" s="260"/>
      <c r="G134" s="31"/>
      <c r="H134" s="127"/>
      <c r="I134" s="15"/>
      <c r="J134" s="10"/>
      <c r="K134" s="36"/>
      <c r="L134" s="11"/>
      <c r="M134" s="10"/>
      <c r="N134" s="10"/>
      <c r="O134" s="10"/>
      <c r="P134" s="10"/>
      <c r="Q134" s="10"/>
    </row>
    <row r="135" spans="1:17" s="118" customFormat="1" ht="24" customHeight="1" x14ac:dyDescent="0.2">
      <c r="A135" s="100"/>
      <c r="B135" s="101"/>
      <c r="C135" s="101"/>
      <c r="D135" s="102"/>
      <c r="E135" s="126"/>
      <c r="F135" s="126"/>
      <c r="G135" s="31"/>
      <c r="H135" s="127"/>
      <c r="I135" s="15"/>
      <c r="J135" s="10"/>
      <c r="K135" s="36"/>
      <c r="L135" s="11"/>
      <c r="M135" s="10"/>
      <c r="N135" s="10"/>
      <c r="O135" s="10"/>
      <c r="P135" s="10"/>
      <c r="Q135" s="10"/>
    </row>
    <row r="136" spans="1:17" s="118" customFormat="1" ht="24" customHeight="1" x14ac:dyDescent="0.2">
      <c r="A136" s="100"/>
      <c r="B136" s="101"/>
      <c r="C136" s="101"/>
      <c r="D136" s="102"/>
      <c r="E136" s="126"/>
      <c r="F136" s="126"/>
      <c r="G136" s="31"/>
      <c r="H136" s="127"/>
      <c r="I136" s="15"/>
      <c r="J136" s="10"/>
      <c r="K136" s="36"/>
      <c r="L136" s="11"/>
      <c r="M136" s="10"/>
      <c r="N136" s="10"/>
      <c r="O136" s="10"/>
      <c r="P136" s="10"/>
      <c r="Q136" s="10"/>
    </row>
    <row r="137" spans="1:17" s="118" customFormat="1" ht="24" customHeight="1" x14ac:dyDescent="0.2">
      <c r="A137" s="100"/>
      <c r="B137" s="101"/>
      <c r="C137" s="101"/>
      <c r="D137" s="102"/>
      <c r="E137" s="126"/>
      <c r="F137" s="126"/>
      <c r="G137" s="31"/>
      <c r="H137" s="127"/>
      <c r="I137" s="15"/>
      <c r="J137" s="10"/>
      <c r="K137" s="36"/>
      <c r="L137" s="11"/>
      <c r="M137" s="10"/>
      <c r="N137" s="10"/>
      <c r="O137" s="10"/>
      <c r="P137" s="10"/>
      <c r="Q137" s="10"/>
    </row>
    <row r="138" spans="1:17" ht="24" customHeight="1" thickBot="1" x14ac:dyDescent="0.25">
      <c r="A138" s="128"/>
      <c r="B138" s="129"/>
      <c r="C138" s="129"/>
      <c r="D138" s="129"/>
      <c r="E138" s="258"/>
      <c r="F138" s="258"/>
      <c r="G138" s="130"/>
      <c r="H138" s="130"/>
      <c r="I138" s="131"/>
      <c r="J138" s="132"/>
      <c r="K138" s="132"/>
      <c r="L138" s="133"/>
      <c r="M138" s="10"/>
      <c r="N138" s="10"/>
      <c r="O138" s="10"/>
      <c r="P138" s="10"/>
      <c r="Q138" s="10"/>
    </row>
    <row r="139" spans="1:17" s="10" customFormat="1" ht="24" customHeight="1" x14ac:dyDescent="0.25">
      <c r="A139" s="134" t="s">
        <v>68</v>
      </c>
      <c r="B139" s="135"/>
      <c r="C139" s="135"/>
      <c r="D139" s="135"/>
      <c r="E139" s="73"/>
      <c r="F139" s="73"/>
      <c r="G139" s="73"/>
      <c r="H139" s="124"/>
      <c r="I139" s="124"/>
      <c r="J139" s="73"/>
      <c r="K139" s="73"/>
      <c r="L139" s="75"/>
    </row>
    <row r="140" spans="1:17" s="10" customFormat="1" ht="24" customHeight="1" thickBot="1" x14ac:dyDescent="0.3">
      <c r="A140" s="136"/>
      <c r="B140" s="137"/>
      <c r="C140" s="138"/>
      <c r="D140" s="8"/>
      <c r="E140" s="8"/>
      <c r="F140" s="8"/>
      <c r="G140" s="8"/>
      <c r="H140" s="139"/>
      <c r="I140" s="139"/>
      <c r="J140" s="8"/>
      <c r="K140" s="8"/>
      <c r="L140" s="9"/>
    </row>
    <row r="141" spans="1:17" ht="24" customHeight="1" x14ac:dyDescent="0.25">
      <c r="A141" s="2" t="s">
        <v>45</v>
      </c>
      <c r="B141" s="70"/>
      <c r="C141" s="70"/>
      <c r="D141" s="10"/>
      <c r="E141" s="10"/>
      <c r="F141" s="76"/>
      <c r="G141" s="77" t="s">
        <v>46</v>
      </c>
      <c r="H141" s="4"/>
      <c r="I141" s="3"/>
      <c r="J141" s="3"/>
      <c r="K141" s="78"/>
      <c r="L141" s="11"/>
      <c r="M141" s="10"/>
      <c r="N141" s="10"/>
      <c r="O141" s="10"/>
      <c r="P141" s="10"/>
      <c r="Q141" s="10"/>
    </row>
    <row r="142" spans="1:17" ht="24" customHeight="1" thickBot="1" x14ac:dyDescent="0.3">
      <c r="A142" s="5" t="s">
        <v>47</v>
      </c>
      <c r="B142" s="6"/>
      <c r="C142" s="6"/>
      <c r="D142" s="8"/>
      <c r="E142" s="8"/>
      <c r="F142" s="79"/>
      <c r="G142" s="80" t="s">
        <v>47</v>
      </c>
      <c r="H142" s="6"/>
      <c r="I142" s="7"/>
      <c r="J142" s="7"/>
      <c r="K142" s="81"/>
      <c r="L142" s="9"/>
      <c r="M142" s="10"/>
      <c r="N142" s="10"/>
      <c r="O142" s="10"/>
      <c r="P142" s="10"/>
      <c r="Q142" s="10"/>
    </row>
  </sheetData>
  <mergeCells count="99">
    <mergeCell ref="A74:L74"/>
    <mergeCell ref="B75:L75"/>
    <mergeCell ref="A7:L7"/>
    <mergeCell ref="A76:A77"/>
    <mergeCell ref="B76:E77"/>
    <mergeCell ref="F76:G77"/>
    <mergeCell ref="H76:L77"/>
    <mergeCell ref="D36:D38"/>
    <mergeCell ref="E36:E38"/>
    <mergeCell ref="F24:F26"/>
    <mergeCell ref="G48:G50"/>
    <mergeCell ref="G24:G26"/>
    <mergeCell ref="H25:H26"/>
    <mergeCell ref="I25:I26"/>
    <mergeCell ref="F36:F38"/>
    <mergeCell ref="G36:G38"/>
    <mergeCell ref="A78:A79"/>
    <mergeCell ref="B78:E79"/>
    <mergeCell ref="F78:G79"/>
    <mergeCell ref="H78:L79"/>
    <mergeCell ref="B82:L82"/>
    <mergeCell ref="B83:L83"/>
    <mergeCell ref="B84:L84"/>
    <mergeCell ref="B85:L85"/>
    <mergeCell ref="B4:L4"/>
    <mergeCell ref="B5:L5"/>
    <mergeCell ref="B6:L6"/>
    <mergeCell ref="A69:B70"/>
    <mergeCell ref="C69:I70"/>
    <mergeCell ref="A48:A50"/>
    <mergeCell ref="B48:B50"/>
    <mergeCell ref="C48:C50"/>
    <mergeCell ref="D48:D50"/>
    <mergeCell ref="E48:E50"/>
    <mergeCell ref="A36:A38"/>
    <mergeCell ref="B36:B38"/>
    <mergeCell ref="C36:C38"/>
    <mergeCell ref="A1:L1"/>
    <mergeCell ref="E134:F134"/>
    <mergeCell ref="G60:G61"/>
    <mergeCell ref="A81:L81"/>
    <mergeCell ref="A92:A93"/>
    <mergeCell ref="B92:C92"/>
    <mergeCell ref="D92:D93"/>
    <mergeCell ref="E92:F92"/>
    <mergeCell ref="G92:H92"/>
    <mergeCell ref="I92:L92"/>
    <mergeCell ref="A67:L67"/>
    <mergeCell ref="A71:B71"/>
    <mergeCell ref="A72:B72"/>
    <mergeCell ref="C71:I71"/>
    <mergeCell ref="C72:I72"/>
    <mergeCell ref="C73:I73"/>
    <mergeCell ref="E138:F138"/>
    <mergeCell ref="J113:J114"/>
    <mergeCell ref="D115:D116"/>
    <mergeCell ref="G115:G116"/>
    <mergeCell ref="J115:J116"/>
    <mergeCell ref="D117:D118"/>
    <mergeCell ref="G117:G118"/>
    <mergeCell ref="J117:J118"/>
    <mergeCell ref="F48:F50"/>
    <mergeCell ref="A24:A26"/>
    <mergeCell ref="B24:B26"/>
    <mergeCell ref="C24:C26"/>
    <mergeCell ref="D24:D26"/>
    <mergeCell ref="E24:E26"/>
    <mergeCell ref="A2:L2"/>
    <mergeCell ref="E11:E13"/>
    <mergeCell ref="A9:A10"/>
    <mergeCell ref="G19:I20"/>
    <mergeCell ref="A15:I15"/>
    <mergeCell ref="H9:H10"/>
    <mergeCell ref="I9:I10"/>
    <mergeCell ref="J9:J10"/>
    <mergeCell ref="A8:F8"/>
    <mergeCell ref="H8:J8"/>
    <mergeCell ref="B9:B10"/>
    <mergeCell ref="C9:C10"/>
    <mergeCell ref="D9:D10"/>
    <mergeCell ref="E9:E10"/>
    <mergeCell ref="F9:F10"/>
    <mergeCell ref="B3:L3"/>
    <mergeCell ref="J69:L69"/>
    <mergeCell ref="D119:D120"/>
    <mergeCell ref="G119:G120"/>
    <mergeCell ref="J119:J120"/>
    <mergeCell ref="B107:D107"/>
    <mergeCell ref="E107:G107"/>
    <mergeCell ref="H107:J107"/>
    <mergeCell ref="D109:D110"/>
    <mergeCell ref="G109:G110"/>
    <mergeCell ref="J109:J110"/>
    <mergeCell ref="D111:D112"/>
    <mergeCell ref="G111:G112"/>
    <mergeCell ref="J111:J112"/>
    <mergeCell ref="D113:D114"/>
    <mergeCell ref="G113:G114"/>
    <mergeCell ref="A73:B73"/>
  </mergeCells>
  <printOptions horizontalCentered="1" verticalCentered="1"/>
  <pageMargins left="0.27559055118110237" right="0.23622047244094491" top="0" bottom="0.74803149606299213" header="0" footer="0.59055118110236227"/>
  <pageSetup paperSize="9" scale="43" orientation="portrait" r:id="rId1"/>
  <headerFooter alignWithMargins="0">
    <oddFooter xml:space="preserve">&amp;L&amp;"Arial,Bold"&amp;Z&amp;F&amp;R&amp;A Page &amp;P of &amp;N </oddFooter>
  </headerFooter>
  <rowBreaks count="1" manualBreakCount="1">
    <brk id="79" max="22" man="1"/>
  </rowBreaks>
  <colBreaks count="1" manualBreakCount="1">
    <brk id="12" max="141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</vt:lpstr>
      <vt:lpstr>'1'!Print_Area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anda.injection</dc:creator>
  <cp:lastModifiedBy>Kakkad, Krunalben</cp:lastModifiedBy>
  <cp:lastPrinted>2017-03-17T07:01:53Z</cp:lastPrinted>
  <dcterms:created xsi:type="dcterms:W3CDTF">2017-03-17T04:08:45Z</dcterms:created>
  <dcterms:modified xsi:type="dcterms:W3CDTF">2026-06-24T09:39:57Z</dcterms:modified>
</cp:coreProperties>
</file>